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dee4ba166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納品入力_横型" sheetId="1" r:id="Rd6ab08db14454830"/>
    <x:sheet xmlns:r="http://schemas.openxmlformats.org/officeDocument/2006/relationships" name="納品台帳_自動生成" sheetId="2" r:id="R273883b8ae674822"/>
    <x:sheet xmlns:r="http://schemas.openxmlformats.org/officeDocument/2006/relationships" name="顧客マスタ" sheetId="3" r:id="R4af3b32888924f94"/>
    <x:sheet xmlns:r="http://schemas.openxmlformats.org/officeDocument/2006/relationships" name="店舗マスタ" sheetId="4" r:id="R90ec69cd64ce415d"/>
    <x:sheet xmlns:r="http://schemas.openxmlformats.org/officeDocument/2006/relationships" name="顧客別単価マスタ" sheetId="5" r:id="R278293ef801b4578"/>
    <x:sheet xmlns:r="http://schemas.openxmlformats.org/officeDocument/2006/relationships" name="請求明細_出力" sheetId="6" r:id="Rb83698b22297494b"/>
    <x:sheet xmlns:r="http://schemas.openxmlformats.org/officeDocument/2006/relationships" name="請求集計" sheetId="7" r:id="R1e9188c689ff4847"/>
    <x:sheet xmlns:r="http://schemas.openxmlformats.org/officeDocument/2006/relationships" name="請求書_出力" sheetId="8" r:id="R0d2cc579717d4ac4"/>
    <x:sheet xmlns:r="http://schemas.openxmlformats.org/officeDocument/2006/relationships" name="設定" sheetId="9" r:id="R1070f49f9eca4739"/>
    <x:sheet xmlns:r="http://schemas.openxmlformats.org/officeDocument/2006/relationships" name="使い方" sheetId="10" r:id="Rf86a3f4e23be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%"/>
    <x:numFmt numFmtId="202" formatCode="0"/>
    <x:numFmt numFmtId="203" formatCode="m/d"/>
    <x:numFmt numFmtId="204" formatCode="yyyy/m/d"/>
  </x:numFmts>
  <x:fonts count="8">
    <x:font>
      <x:sz val="11"/>
      <x:name val="Carlito"/>
    </x:font>
    <x:font>
      <x:b/>
      <x:sz val="18"/>
      <x:color rgb="FFFFFF"/>
      <x:name val="Carlito"/>
    </x:font>
    <x:font>
      <x:b/>
      <x:sz val="11"/>
      <x:color rgb="1F2937"/>
      <x:name val="Carlito"/>
    </x:font>
    <x:font>
      <x:b/>
      <x:sz val="14"/>
      <x:color rgb="1F2937"/>
      <x:name val="Carlito"/>
    </x:font>
    <x:font>
      <x:b/>
      <x:sz val="14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b/>
      <x:sz val="1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B4C6E7"/>
      </x:patternFill>
    </x:fill>
    <x:fill>
      <x:patternFill patternType="solid">
        <x:fgColor rgb="DDEBF7"/>
      </x:patternFill>
    </x:fill>
  </x:fills>
  <x:borders count="2"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4" borderId="1" xfId="0" applyNumberFormat="1" applyFont="1" applyFill="1" applyBorder="1"/>
    <x:xf numFmtId="202" fontId="0" fillId="4" borderId="1" xfId="0" applyNumberFormat="1" applyFont="1" applyFill="1" applyBorder="1"/>
    <x:xf numFmtId="202" fontId="0" fillId="4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203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horizontal="right"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left" vertical="center"/>
    </x:xf>
    <x:xf numFmtId="204" fontId="0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3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200" fontId="5" fillId="7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200" fontId="7" fillId="7" borderId="1" xfId="0" applyNumberFormat="1" applyFont="1" applyFill="1" applyBorder="1"/>
    <x:xf numFmtId="200" fontId="7" fillId="7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785daa7284201" /><Relationship Type="http://schemas.openxmlformats.org/officeDocument/2006/relationships/theme" Target="/xl/theme/theme1.xml" Id="R029c38d796354101" /><Relationship Type="http://schemas.openxmlformats.org/officeDocument/2006/relationships/sharedStrings" Target="/xl/sharedStrings.xml" Id="R1d7444b9b6c34298" /><Relationship Type="http://schemas.openxmlformats.org/officeDocument/2006/relationships/worksheet" Target="/xl/worksheets/sheet1.xml" Id="Rd6ab08db14454830" /><Relationship Type="http://schemas.openxmlformats.org/officeDocument/2006/relationships/worksheet" Target="/xl/worksheets/sheet2.xml" Id="R273883b8ae674822" /><Relationship Type="http://schemas.openxmlformats.org/officeDocument/2006/relationships/worksheet" Target="/xl/worksheets/sheet3.xml" Id="R4af3b32888924f94" /><Relationship Type="http://schemas.openxmlformats.org/officeDocument/2006/relationships/worksheet" Target="/xl/worksheets/sheet4.xml" Id="R90ec69cd64ce415d" /><Relationship Type="http://schemas.openxmlformats.org/officeDocument/2006/relationships/worksheet" Target="/xl/worksheets/sheet5.xml" Id="R278293ef801b4578" /><Relationship Type="http://schemas.openxmlformats.org/officeDocument/2006/relationships/worksheet" Target="/xl/worksheets/sheet6.xml" Id="Rb83698b22297494b" /><Relationship Type="http://schemas.openxmlformats.org/officeDocument/2006/relationships/worksheet" Target="/xl/worksheets/sheet7.xml" Id="R1e9188c689ff4847" /><Relationship Type="http://schemas.openxmlformats.org/officeDocument/2006/relationships/worksheet" Target="/xl/worksheets/sheet8.xml" Id="R0d2cc579717d4ac4" /><Relationship Type="http://schemas.openxmlformats.org/officeDocument/2006/relationships/worksheet" Target="/xl/worksheets/sheet9.xml" Id="R1070f49f9eca4739" /><Relationship Type="http://schemas.openxmlformats.org/officeDocument/2006/relationships/worksheet" Target="/xl/worksheets/sheet10.xml" Id="Rf86a3f4e23be40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9.199999809265137" hidden="0" customWidth="1"/>
    <x:col min="3" max="3" width="7.730000019073486" hidden="0" customWidth="1"/>
    <x:col min="4" max="4" width="7.730000019073486" hidden="0" customWidth="1"/>
    <x:col min="5" max="5" width="7.730000019073486" hidden="0" customWidth="1"/>
    <x:col min="6" max="6" width="7.730000019073486" hidden="0" customWidth="1"/>
    <x:col min="7" max="7" width="7.730000019073486" hidden="0" customWidth="1"/>
    <x:col min="8" max="8" width="7.730000019073486" hidden="0" customWidth="1"/>
    <x:col min="9" max="9" width="7.730000019073486" hidden="0" customWidth="1"/>
    <x:col min="10" max="10" width="7.730000019073486" hidden="0" customWidth="1"/>
    <x:col min="11" max="11" width="7.730000019073486" hidden="0" customWidth="1"/>
    <x:col min="12" max="12" width="7.730000019073486" hidden="0" customWidth="1"/>
    <x:col min="13" max="13" width="7.730000019073486" hidden="0" customWidth="1"/>
    <x:col min="14" max="14" width="7.730000019073486" hidden="0" customWidth="1"/>
    <x:col min="15" max="15" width="7.730000019073486" hidden="0" customWidth="1"/>
    <x:col min="16" max="16" width="7.730000019073486" hidden="0" customWidth="1"/>
    <x:col min="17" max="17" width="7.730000019073486" hidden="0" customWidth="1"/>
    <x:col min="18" max="18" width="7.730000019073486" hidden="0" customWidth="1"/>
    <x:col min="19" max="19" width="7.730000019073486" hidden="0" customWidth="1"/>
    <x:col min="20" max="20" width="7.730000019073486" hidden="0" customWidth="1"/>
    <x:col min="21" max="21" width="7.730000019073486" hidden="0" customWidth="1"/>
    <x:col min="22" max="22" width="7.730000019073486" hidden="0" customWidth="1"/>
    <x:col min="23" max="23" width="10.430000305175781" hidden="0" customWidth="1"/>
    <x:col min="24" max="24" width="11.65999984741211" hidden="0" customWidth="1"/>
  </x:cols>
  <x:sheetData>
    <x:row r="1">
      <x:c r="A1" s="4" t="str">
        <x:v>納品入力_横型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</x:row>
    <x:row r="2">
      <x:c r="A2" s="19" t="str">
        <x:f>$E$3&amp;" 請求明細（"&amp;$E$4&amp;"締め）"</x:f>
        <x:v>2026年4月 請求明細（月末締め）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</x:row>
    <x:row r="3">
      <x:c r="A3" t="str">
        <x:v>請求先</x:v>
      </x:c>
      <x:c r="B3" s="16" t="str">
        <x:v>〇〇株式会社</x:v>
      </x:c>
      <x:c r="C3" t="str"/>
      <x:c r="D3" t="str">
        <x:v>対象月</x:v>
      </x:c>
      <x:c r="E3" s="16" t="str">
        <x:v>2026年4月</x:v>
      </x:c>
      <x:c r="F3" t="str"/>
      <x:c r="G3" t="str">
        <x:v>入力欄</x:v>
      </x:c>
      <x:c r="H3" s="16" t="str">
        <x:v>黄色</x:v>
      </x:c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</x:row>
    <x:row r="4">
      <x:c r="A4" t="str">
        <x:v>顧客ID</x:v>
      </x:c>
      <x:c r="B4" s="16" t="str">
        <x:v>CUST001</x:v>
      </x:c>
      <x:c r="C4" t="str"/>
      <x:c r="D4" t="str">
        <x:v>締日</x:v>
      </x:c>
      <x:c r="E4" s="16" t="str">
        <x:v>月末</x:v>
      </x:c>
      <x:c r="F4" t="str"/>
      <x:c r="G4" t="str">
        <x:v>自動計算</x:v>
      </x:c>
      <x:c r="H4" s="17" t="str">
        <x:v>緑色</x:v>
      </x:c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</x:row>
    <x:row r="5">
      <x:c r="A5" t="str">
        <x:v>備考</x:v>
      </x:c>
      <x:c r="B5" t="str">
        <x:v>上部の納品日と数量のみ入力。配達料は納品日が入った列を自動で1計上。</x:v>
      </x:c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</x:row>
    <x:row r="7">
      <x:c r="A7" s="22" t="str">
        <x:v>本店</x:v>
      </x:c>
      <x:c r="B7" s="22" t="str">
        <x:v>店舗ID: S001</x:v>
      </x:c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</x:row>
    <x:row r="8">
      <x:c r="A8" s="10" t="str">
        <x:v>商品名</x:v>
      </x:c>
      <x:c r="B8" s="10" t="str">
        <x:v>単価</x:v>
      </x:c>
      <x:c r="C8" s="10" t="str">
        <x:v>納品01</x:v>
      </x:c>
      <x:c r="D8" s="10" t="str">
        <x:v>納品02</x:v>
      </x:c>
      <x:c r="E8" s="10" t="str">
        <x:v>納品03</x:v>
      </x:c>
      <x:c r="F8" s="10" t="str">
        <x:v>納品04</x:v>
      </x:c>
      <x:c r="G8" s="10" t="str">
        <x:v>納品05</x:v>
      </x:c>
      <x:c r="H8" s="10" t="str">
        <x:v>納品06</x:v>
      </x:c>
      <x:c r="I8" s="10" t="str">
        <x:v>納品07</x:v>
      </x:c>
      <x:c r="J8" s="10" t="str">
        <x:v>納品08</x:v>
      </x:c>
      <x:c r="K8" s="10" t="str">
        <x:v>納品09</x:v>
      </x:c>
      <x:c r="L8" s="10" t="str">
        <x:v>納品10</x:v>
      </x:c>
      <x:c r="M8" s="10" t="str">
        <x:v>納品11</x:v>
      </x:c>
      <x:c r="N8" s="10" t="str">
        <x:v>納品12</x:v>
      </x:c>
      <x:c r="O8" s="10" t="str">
        <x:v>納品13</x:v>
      </x:c>
      <x:c r="P8" s="10" t="str">
        <x:v>納品14</x:v>
      </x:c>
      <x:c r="Q8" s="10" t="str">
        <x:v>納品15</x:v>
      </x:c>
      <x:c r="R8" s="10" t="str">
        <x:v>納品16</x:v>
      </x:c>
      <x:c r="S8" s="10" t="str">
        <x:v>納品17</x:v>
      </x:c>
      <x:c r="T8" s="10" t="str">
        <x:v>納品18</x:v>
      </x:c>
      <x:c r="U8" s="10" t="str">
        <x:v>納品19</x:v>
      </x:c>
      <x:c r="V8" s="10" t="str">
        <x:v>納品20</x:v>
      </x:c>
      <x:c r="W8" s="10" t="str">
        <x:v>合計</x:v>
      </x:c>
      <x:c r="X8" s="10" t="str">
        <x:v>金額</x:v>
      </x:c>
    </x:row>
    <x:row r="9">
      <x:c r="A9" s="11" t="str">
        <x:v>日だけ入力</x:v>
      </x:c>
      <x:c r="B9" s="11" t="str"/>
      <x:c r="C9" s="25" t="n">
        <x:v>1</x:v>
      </x:c>
      <x:c r="D9" s="25" t="n">
        <x:v>4</x:v>
      </x:c>
      <x:c r="E9" s="25" t="n">
        <x:v>9</x:v>
      </x:c>
      <x:c r="F9" s="25" t="n">
        <x:v>15</x:v>
      </x:c>
      <x:c r="G9" s="25" t="n">
        <x:v>20</x:v>
      </x:c>
      <x:c r="H9" s="25" t="str"/>
      <x:c r="I9" s="25" t="str"/>
      <x:c r="J9" s="25" t="str"/>
      <x:c r="K9" s="25" t="str"/>
      <x:c r="L9" s="25" t="str"/>
      <x:c r="M9" s="25" t="str"/>
      <x:c r="N9" s="25" t="str"/>
      <x:c r="O9" s="25" t="str"/>
      <x:c r="P9" s="25" t="str"/>
      <x:c r="Q9" s="25" t="str"/>
      <x:c r="R9" s="25" t="str"/>
      <x:c r="S9" s="25" t="str"/>
      <x:c r="T9" s="25" t="str"/>
      <x:c r="U9" s="25" t="str"/>
      <x:c r="V9" s="25" t="str"/>
      <x:c r="W9" s="11" t="str"/>
      <x:c r="X9" s="11" t="str"/>
    </x:row>
    <x:row r="10">
      <x:c r="A10" s="11" t="str">
        <x:v>納品日表示</x:v>
      </x:c>
      <x:c r="B10" s="11" t="str"/>
      <x:c r="C10" s="28" t="n">
        <x:f>IF(C9="","",DATE(VALUE(LEFT($E$3,4)),VALUE(MID($E$3,FIND("年",$E$3)+1,FIND("月",$E$3)-FIND("年",$E$3)-1))+IF(AND($E$4&lt;&gt;"月末",C9&gt;IF($E$4="15日",15,IF($E$4="20日",20,31))),-1,0),C9))</x:f>
        <x:v>46113</x:v>
      </x:c>
      <x:c r="D10" s="28" t="n">
        <x:f>IF(D9="","",DATE(VALUE(LEFT($E$3,4)),VALUE(MID($E$3,FIND("年",$E$3)+1,FIND("月",$E$3)-FIND("年",$E$3)-1))+IF(AND($E$4&lt;&gt;"月末",D9&gt;IF($E$4="15日",15,IF($E$4="20日",20,31))),-1,0),D9))</x:f>
        <x:v>46116</x:v>
      </x:c>
      <x:c r="E10" s="28" t="n">
        <x:f>IF(E9="","",DATE(VALUE(LEFT($E$3,4)),VALUE(MID($E$3,FIND("年",$E$3)+1,FIND("月",$E$3)-FIND("年",$E$3)-1))+IF(AND($E$4&lt;&gt;"月末",E9&gt;IF($E$4="15日",15,IF($E$4="20日",20,31))),-1,0),E9))</x:f>
        <x:v>46121</x:v>
      </x:c>
      <x:c r="F10" s="28" t="n">
        <x:f>IF(F9="","",DATE(VALUE(LEFT($E$3,4)),VALUE(MID($E$3,FIND("年",$E$3)+1,FIND("月",$E$3)-FIND("年",$E$3)-1))+IF(AND($E$4&lt;&gt;"月末",F9&gt;IF($E$4="15日",15,IF($E$4="20日",20,31))),-1,0),F9))</x:f>
        <x:v>46127</x:v>
      </x:c>
      <x:c r="G10" s="28" t="n">
        <x:f>IF(G9="","",DATE(VALUE(LEFT($E$3,4)),VALUE(MID($E$3,FIND("年",$E$3)+1,FIND("月",$E$3)-FIND("年",$E$3)-1))+IF(AND($E$4&lt;&gt;"月末",G9&gt;IF($E$4="15日",15,IF($E$4="20日",20,31))),-1,0),G9))</x:f>
        <x:v>46132</x:v>
      </x:c>
      <x:c r="H10" s="28" t="str">
        <x:f>IF(H9="","",DATE(VALUE(LEFT($E$3,4)),VALUE(MID($E$3,FIND("年",$E$3)+1,FIND("月",$E$3)-FIND("年",$E$3)-1))+IF(AND($E$4&lt;&gt;"月末",H9&gt;IF($E$4="15日",15,IF($E$4="20日",20,31))),-1,0),H9))</x:f>
      </x:c>
      <x:c r="I10" s="28" t="str">
        <x:f>IF(I9="","",DATE(VALUE(LEFT($E$3,4)),VALUE(MID($E$3,FIND("年",$E$3)+1,FIND("月",$E$3)-FIND("年",$E$3)-1))+IF(AND($E$4&lt;&gt;"月末",I9&gt;IF($E$4="15日",15,IF($E$4="20日",20,31))),-1,0),I9))</x:f>
      </x:c>
      <x:c r="J10" s="28" t="str">
        <x:f>IF(J9="","",DATE(VALUE(LEFT($E$3,4)),VALUE(MID($E$3,FIND("年",$E$3)+1,FIND("月",$E$3)-FIND("年",$E$3)-1))+IF(AND($E$4&lt;&gt;"月末",J9&gt;IF($E$4="15日",15,IF($E$4="20日",20,31))),-1,0),J9))</x:f>
      </x:c>
      <x:c r="K10" s="28" t="str">
        <x:f>IF(K9="","",DATE(VALUE(LEFT($E$3,4)),VALUE(MID($E$3,FIND("年",$E$3)+1,FIND("月",$E$3)-FIND("年",$E$3)-1))+IF(AND($E$4&lt;&gt;"月末",K9&gt;IF($E$4="15日",15,IF($E$4="20日",20,31))),-1,0),K9))</x:f>
      </x:c>
      <x:c r="L10" s="28" t="str">
        <x:f>IF(L9="","",DATE(VALUE(LEFT($E$3,4)),VALUE(MID($E$3,FIND("年",$E$3)+1,FIND("月",$E$3)-FIND("年",$E$3)-1))+IF(AND($E$4&lt;&gt;"月末",L9&gt;IF($E$4="15日",15,IF($E$4="20日",20,31))),-1,0),L9))</x:f>
      </x:c>
      <x:c r="M10" s="28" t="str">
        <x:f>IF(M9="","",DATE(VALUE(LEFT($E$3,4)),VALUE(MID($E$3,FIND("年",$E$3)+1,FIND("月",$E$3)-FIND("年",$E$3)-1))+IF(AND($E$4&lt;&gt;"月末",M9&gt;IF($E$4="15日",15,IF($E$4="20日",20,31))),-1,0),M9))</x:f>
      </x:c>
      <x:c r="N10" s="28" t="str">
        <x:f>IF(N9="","",DATE(VALUE(LEFT($E$3,4)),VALUE(MID($E$3,FIND("年",$E$3)+1,FIND("月",$E$3)-FIND("年",$E$3)-1))+IF(AND($E$4&lt;&gt;"月末",N9&gt;IF($E$4="15日",15,IF($E$4="20日",20,31))),-1,0),N9))</x:f>
      </x:c>
      <x:c r="O10" s="28" t="str">
        <x:f>IF(O9="","",DATE(VALUE(LEFT($E$3,4)),VALUE(MID($E$3,FIND("年",$E$3)+1,FIND("月",$E$3)-FIND("年",$E$3)-1))+IF(AND($E$4&lt;&gt;"月末",O9&gt;IF($E$4="15日",15,IF($E$4="20日",20,31))),-1,0),O9))</x:f>
      </x:c>
      <x:c r="P10" s="28" t="str">
        <x:f>IF(P9="","",DATE(VALUE(LEFT($E$3,4)),VALUE(MID($E$3,FIND("年",$E$3)+1,FIND("月",$E$3)-FIND("年",$E$3)-1))+IF(AND($E$4&lt;&gt;"月末",P9&gt;IF($E$4="15日",15,IF($E$4="20日",20,31))),-1,0),P9))</x:f>
      </x:c>
      <x:c r="Q10" s="28" t="str">
        <x:f>IF(Q9="","",DATE(VALUE(LEFT($E$3,4)),VALUE(MID($E$3,FIND("年",$E$3)+1,FIND("月",$E$3)-FIND("年",$E$3)-1))+IF(AND($E$4&lt;&gt;"月末",Q9&gt;IF($E$4="15日",15,IF($E$4="20日",20,31))),-1,0),Q9))</x:f>
      </x:c>
      <x:c r="R10" s="28" t="str">
        <x:f>IF(R9="","",DATE(VALUE(LEFT($E$3,4)),VALUE(MID($E$3,FIND("年",$E$3)+1,FIND("月",$E$3)-FIND("年",$E$3)-1))+IF(AND($E$4&lt;&gt;"月末",R9&gt;IF($E$4="15日",15,IF($E$4="20日",20,31))),-1,0),R9))</x:f>
      </x:c>
      <x:c r="S10" s="28" t="str">
        <x:f>IF(S9="","",DATE(VALUE(LEFT($E$3,4)),VALUE(MID($E$3,FIND("年",$E$3)+1,FIND("月",$E$3)-FIND("年",$E$3)-1))+IF(AND($E$4&lt;&gt;"月末",S9&gt;IF($E$4="15日",15,IF($E$4="20日",20,31))),-1,0),S9))</x:f>
      </x:c>
      <x:c r="T10" s="28" t="str">
        <x:f>IF(T9="","",DATE(VALUE(LEFT($E$3,4)),VALUE(MID($E$3,FIND("年",$E$3)+1,FIND("月",$E$3)-FIND("年",$E$3)-1))+IF(AND($E$4&lt;&gt;"月末",T9&gt;IF($E$4="15日",15,IF($E$4="20日",20,31))),-1,0),T9))</x:f>
      </x:c>
      <x:c r="U10" s="28" t="str">
        <x:f>IF(U9="","",DATE(VALUE(LEFT($E$3,4)),VALUE(MID($E$3,FIND("年",$E$3)+1,FIND("月",$E$3)-FIND("年",$E$3)-1))+IF(AND($E$4&lt;&gt;"月末",U9&gt;IF($E$4="15日",15,IF($E$4="20日",20,31))),-1,0),U9))</x:f>
      </x:c>
      <x:c r="V10" s="28" t="str">
        <x:f>IF(V9="","",DATE(VALUE(LEFT($E$3,4)),VALUE(MID($E$3,FIND("年",$E$3)+1,FIND("月",$E$3)-FIND("年",$E$3)-1))+IF(AND($E$4&lt;&gt;"月末",V9&gt;IF($E$4="15日",15,IF($E$4="20日",20,31))),-1,0),V9))</x:f>
      </x:c>
      <x:c r="W10" s="11"/>
      <x:c r="X10" s="11"/>
    </x:row>
    <x:row r="11">
      <x:c r="A11" s="35" t="str">
        <x:v>バスタオル</x:v>
      </x:c>
      <x:c r="B11" s="31" t="n">
        <x:f>IFERROR(INDEX('顧客別単価マスタ'!$D$4:$D$100,MATCH(1,('顧客別単価マスタ'!$A$4:$A$100=$B$4)*('顧客別単価マスタ'!$B$4:$B$100="S001")*('顧客別単価マスタ'!$C$4:$C$100=A11),0)),INDEX('顧客別単価マスタ'!$D$4:$D$100,MATCH(1,('顧客別単価マスタ'!$A$4:$A$100=$B$4)*('顧客別単価マスタ'!$B$4:$B$100="")*('顧客別単価マスタ'!$C$4:$C$100=A11),0)))</x:f>
        <x:v>50</x:v>
      </x:c>
      <x:c r="C11" s="33" t="n">
        <x:v>100</x:v>
      </x:c>
      <x:c r="D11" s="33" t="str"/>
      <x:c r="E11" s="33" t="n">
        <x:v>50</x:v>
      </x:c>
      <x:c r="F11" s="33" t="n">
        <x:v>50</x:v>
      </x:c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1" t="n">
        <x:f>SUM(C11:V11)</x:f>
        <x:v>200</x:v>
      </x:c>
      <x:c r="X11" s="31" t="n">
        <x:f>W11*B11</x:f>
        <x:v>10000</x:v>
      </x:c>
    </x:row>
    <x:row r="12">
      <x:c r="A12" s="35" t="str">
        <x:v>フェイスタオル</x:v>
      </x:c>
      <x:c r="B12" s="31" t="n">
        <x:f>IFERROR(INDEX('顧客別単価マスタ'!$D$4:$D$100,MATCH(1,('顧客別単価マスタ'!$A$4:$A$100=$B$4)*('顧客別単価マスタ'!$B$4:$B$100="S001")*('顧客別単価マスタ'!$C$4:$C$100=A12),0)),INDEX('顧客別単価マスタ'!$D$4:$D$100,MATCH(1,('顧客別単価マスタ'!$A$4:$A$100=$B$4)*('顧客別単価マスタ'!$B$4:$B$100="")*('顧客別単価マスタ'!$C$4:$C$100=A12),0)))</x:f>
        <x:v>10</x:v>
      </x:c>
      <x:c r="C12" s="33" t="n">
        <x:v>150</x:v>
      </x:c>
      <x:c r="D12" s="33" t="n">
        <x:v>200</x:v>
      </x:c>
      <x:c r="E12" s="33" t="n">
        <x:v>100</x:v>
      </x:c>
      <x:c r="F12" s="33" t="str"/>
      <x:c r="G12" s="33" t="n">
        <x:v>100</x:v>
      </x:c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1" t="n">
        <x:f>SUM(C12:V12)</x:f>
        <x:v>550</x:v>
      </x:c>
      <x:c r="X12" s="31" t="n">
        <x:f>W12*B12</x:f>
        <x:v>5500</x:v>
      </x:c>
    </x:row>
    <x:row r="13">
      <x:c r="A13" s="35" t="str">
        <x:v>バスマット</x:v>
      </x:c>
      <x:c r="B13" s="31" t="n">
        <x:f>IFERROR(INDEX('顧客別単価マスタ'!$D$4:$D$100,MATCH(1,('顧客別単価マスタ'!$A$4:$A$100=$B$4)*('顧客別単価マスタ'!$B$4:$B$100="S001")*('顧客別単価マスタ'!$C$4:$C$100=A13),0)),INDEX('顧客別単価マスタ'!$D$4:$D$100,MATCH(1,('顧客別単価マスタ'!$A$4:$A$100=$B$4)*('顧客別単価マスタ'!$B$4:$B$100="")*('顧客別単価マスタ'!$C$4:$C$100=A13),0)))</x:f>
        <x:v>20</x:v>
      </x:c>
      <x:c r="C13" s="33" t="n">
        <x:v>10</x:v>
      </x:c>
      <x:c r="D13" s="33" t="str"/>
      <x:c r="E13" s="33" t="n">
        <x:v>10</x:v>
      </x:c>
      <x:c r="F13" s="33" t="str"/>
      <x:c r="G13" s="33" t="n">
        <x:v>10</x:v>
      </x:c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1" t="n">
        <x:f>SUM(C13:V13)</x:f>
        <x:v>30</x:v>
      </x:c>
      <x:c r="X13" s="31" t="n">
        <x:f>W13*B13</x:f>
        <x:v>600</x:v>
      </x:c>
    </x:row>
    <x:row r="14">
      <x:c r="A14" s="35" t="str">
        <x:v>配達料</x:v>
      </x:c>
      <x:c r="B14" s="31" t="n">
        <x:f>IFERROR(INDEX('顧客別単価マスタ'!$D$4:$D$100,MATCH(1,('顧客別単価マスタ'!$A$4:$A$100=$B$4)*('顧客別単価マスタ'!$B$4:$B$100="S001")*('顧客別単価マスタ'!$C$4:$C$100=A14),0)),INDEX('顧客別単価マスタ'!$D$4:$D$100,MATCH(1,('顧客別単価マスタ'!$A$4:$A$100=$B$4)*('顧客別単価マスタ'!$B$4:$B$100="")*('顧客別単価マスタ'!$C$4:$C$100=A14),0)))</x:f>
        <x:v>150</x:v>
      </x:c>
      <x:c r="C14" s="34" t="n">
        <x:f>IF(C10&lt;&gt;"",1,"")</x:f>
        <x:v>1</x:v>
      </x:c>
      <x:c r="D14" s="34" t="n">
        <x:f>IF(D10&lt;&gt;"",1,"")</x:f>
        <x:v>1</x:v>
      </x:c>
      <x:c r="E14" s="34" t="n">
        <x:f>IF(E10&lt;&gt;"",1,"")</x:f>
        <x:v>1</x:v>
      </x:c>
      <x:c r="F14" s="34" t="n">
        <x:f>IF(F10&lt;&gt;"",1,"")</x:f>
        <x:v>1</x:v>
      </x:c>
      <x:c r="G14" s="34" t="n">
        <x:f>IF(G10&lt;&gt;"",1,"")</x:f>
        <x:v>1</x:v>
      </x:c>
      <x:c r="H14" s="34" t="str">
        <x:f>IF(H10&lt;&gt;"",1,"")</x:f>
      </x:c>
      <x:c r="I14" s="34" t="str">
        <x:f>IF(I10&lt;&gt;"",1,"")</x:f>
      </x:c>
      <x:c r="J14" s="34" t="str">
        <x:f>IF(J10&lt;&gt;"",1,"")</x:f>
      </x:c>
      <x:c r="K14" s="34" t="str">
        <x:f>IF(K10&lt;&gt;"",1,"")</x:f>
      </x:c>
      <x:c r="L14" s="34" t="str">
        <x:f>IF(L10&lt;&gt;"",1,"")</x:f>
      </x:c>
      <x:c r="M14" s="34" t="str">
        <x:f>IF(M10&lt;&gt;"",1,"")</x:f>
      </x:c>
      <x:c r="N14" s="34" t="str">
        <x:f>IF(N10&lt;&gt;"",1,"")</x:f>
      </x:c>
      <x:c r="O14" s="34" t="str">
        <x:f>IF(O10&lt;&gt;"",1,"")</x:f>
      </x:c>
      <x:c r="P14" s="34" t="str">
        <x:f>IF(P10&lt;&gt;"",1,"")</x:f>
      </x:c>
      <x:c r="Q14" s="34" t="str">
        <x:f>IF(Q10&lt;&gt;"",1,"")</x:f>
      </x:c>
      <x:c r="R14" s="34" t="str">
        <x:f>IF(R10&lt;&gt;"",1,"")</x:f>
      </x:c>
      <x:c r="S14" s="34" t="str">
        <x:f>IF(S10&lt;&gt;"",1,"")</x:f>
      </x:c>
      <x:c r="T14" s="34" t="str">
        <x:f>IF(T10&lt;&gt;"",1,"")</x:f>
      </x:c>
      <x:c r="U14" s="34" t="str">
        <x:f>IF(U10&lt;&gt;"",1,"")</x:f>
      </x:c>
      <x:c r="V14" s="34" t="str">
        <x:f>IF(V10&lt;&gt;"",1,"")</x:f>
      </x:c>
      <x:c r="W14" s="31" t="n">
        <x:f>SUM(C14:V14)</x:f>
        <x:v>5</x:v>
      </x:c>
      <x:c r="X14" s="31" t="n">
        <x:f>W14*B14</x:f>
        <x:v>750</x:v>
      </x:c>
    </x:row>
    <x:row r="17">
      <x:c r="A17" s="22" t="str">
        <x:v>駅前店</x:v>
      </x:c>
      <x:c r="B17" s="22" t="str">
        <x:v>店舗ID: S002</x:v>
      </x:c>
      <x:c r="C17" s="22" t="str"/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</x:row>
    <x:row r="18">
      <x:c r="A18" s="10" t="str">
        <x:v>商品名</x:v>
      </x:c>
      <x:c r="B18" s="10" t="str">
        <x:v>単価</x:v>
      </x:c>
      <x:c r="C18" s="10" t="str">
        <x:v>納品01</x:v>
      </x:c>
      <x:c r="D18" s="10" t="str">
        <x:v>納品02</x:v>
      </x:c>
      <x:c r="E18" s="10" t="str">
        <x:v>納品03</x:v>
      </x:c>
      <x:c r="F18" s="10" t="str">
        <x:v>納品04</x:v>
      </x:c>
      <x:c r="G18" s="10" t="str">
        <x:v>納品05</x:v>
      </x:c>
      <x:c r="H18" s="10" t="str">
        <x:v>納品06</x:v>
      </x:c>
      <x:c r="I18" s="10" t="str">
        <x:v>納品07</x:v>
      </x:c>
      <x:c r="J18" s="10" t="str">
        <x:v>納品08</x:v>
      </x:c>
      <x:c r="K18" s="10" t="str">
        <x:v>納品09</x:v>
      </x:c>
      <x:c r="L18" s="10" t="str">
        <x:v>納品10</x:v>
      </x:c>
      <x:c r="M18" s="10" t="str">
        <x:v>納品11</x:v>
      </x:c>
      <x:c r="N18" s="10" t="str">
        <x:v>納品12</x:v>
      </x:c>
      <x:c r="O18" s="10" t="str">
        <x:v>納品13</x:v>
      </x:c>
      <x:c r="P18" s="10" t="str">
        <x:v>納品14</x:v>
      </x:c>
      <x:c r="Q18" s="10" t="str">
        <x:v>納品15</x:v>
      </x:c>
      <x:c r="R18" s="10" t="str">
        <x:v>納品16</x:v>
      </x:c>
      <x:c r="S18" s="10" t="str">
        <x:v>納品17</x:v>
      </x:c>
      <x:c r="T18" s="10" t="str">
        <x:v>納品18</x:v>
      </x:c>
      <x:c r="U18" s="10" t="str">
        <x:v>納品19</x:v>
      </x:c>
      <x:c r="V18" s="10" t="str">
        <x:v>納品20</x:v>
      </x:c>
      <x:c r="W18" s="10" t="str">
        <x:v>合計</x:v>
      </x:c>
      <x:c r="X18" s="10" t="str">
        <x:v>金額</x:v>
      </x:c>
    </x:row>
    <x:row r="19">
      <x:c r="A19" s="11" t="str">
        <x:v>日だけ入力</x:v>
      </x:c>
      <x:c r="B19" s="11" t="str"/>
      <x:c r="C19" s="25" t="n">
        <x:v>2</x:v>
      </x:c>
      <x:c r="D19" s="25" t="n">
        <x:v>8</x:v>
      </x:c>
      <x:c r="E19" s="25" t="n">
        <x:v>16</x:v>
      </x:c>
      <x:c r="F19" s="25" t="str"/>
      <x:c r="G19" s="25" t="str"/>
      <x:c r="H19" s="25" t="str"/>
      <x:c r="I19" s="25" t="str"/>
      <x:c r="J19" s="25" t="str"/>
      <x:c r="K19" s="25" t="str"/>
      <x:c r="L19" s="25" t="str"/>
      <x:c r="M19" s="25" t="str"/>
      <x:c r="N19" s="25" t="str"/>
      <x:c r="O19" s="25" t="str"/>
      <x:c r="P19" s="25" t="str"/>
      <x:c r="Q19" s="25" t="str"/>
      <x:c r="R19" s="25" t="str"/>
      <x:c r="S19" s="25" t="str"/>
      <x:c r="T19" s="25" t="str"/>
      <x:c r="U19" s="25" t="str"/>
      <x:c r="V19" s="25" t="str"/>
      <x:c r="W19" s="11" t="str"/>
      <x:c r="X19" s="11" t="str"/>
    </x:row>
    <x:row r="20">
      <x:c r="A20" s="11" t="str">
        <x:v>納品日表示</x:v>
      </x:c>
      <x:c r="B20" s="11" t="str"/>
      <x:c r="C20" s="28" t="n">
        <x:f>IF(C19="","",DATE(VALUE(LEFT($E$3,4)),VALUE(MID($E$3,FIND("年",$E$3)+1,FIND("月",$E$3)-FIND("年",$E$3)-1))+IF(AND($E$4&lt;&gt;"月末",C19&gt;IF($E$4="15日",15,IF($E$4="20日",20,31))),-1,0),C19))</x:f>
        <x:v>46114</x:v>
      </x:c>
      <x:c r="D20" s="28" t="n">
        <x:f>IF(D19="","",DATE(VALUE(LEFT($E$3,4)),VALUE(MID($E$3,FIND("年",$E$3)+1,FIND("月",$E$3)-FIND("年",$E$3)-1))+IF(AND($E$4&lt;&gt;"月末",D19&gt;IF($E$4="15日",15,IF($E$4="20日",20,31))),-1,0),D19))</x:f>
        <x:v>46120</x:v>
      </x:c>
      <x:c r="E20" s="28" t="n">
        <x:f>IF(E19="","",DATE(VALUE(LEFT($E$3,4)),VALUE(MID($E$3,FIND("年",$E$3)+1,FIND("月",$E$3)-FIND("年",$E$3)-1))+IF(AND($E$4&lt;&gt;"月末",E19&gt;IF($E$4="15日",15,IF($E$4="20日",20,31))),-1,0),E19))</x:f>
        <x:v>46128</x:v>
      </x:c>
      <x:c r="F20" s="28" t="str">
        <x:f>IF(F19="","",DATE(VALUE(LEFT($E$3,4)),VALUE(MID($E$3,FIND("年",$E$3)+1,FIND("月",$E$3)-FIND("年",$E$3)-1))+IF(AND($E$4&lt;&gt;"月末",F19&gt;IF($E$4="15日",15,IF($E$4="20日",20,31))),-1,0),F19))</x:f>
      </x:c>
      <x:c r="G20" s="28" t="str">
        <x:f>IF(G19="","",DATE(VALUE(LEFT($E$3,4)),VALUE(MID($E$3,FIND("年",$E$3)+1,FIND("月",$E$3)-FIND("年",$E$3)-1))+IF(AND($E$4&lt;&gt;"月末",G19&gt;IF($E$4="15日",15,IF($E$4="20日",20,31))),-1,0),G19))</x:f>
      </x:c>
      <x:c r="H20" s="28" t="str">
        <x:f>IF(H19="","",DATE(VALUE(LEFT($E$3,4)),VALUE(MID($E$3,FIND("年",$E$3)+1,FIND("月",$E$3)-FIND("年",$E$3)-1))+IF(AND($E$4&lt;&gt;"月末",H19&gt;IF($E$4="15日",15,IF($E$4="20日",20,31))),-1,0),H19))</x:f>
      </x:c>
      <x:c r="I20" s="28" t="str">
        <x:f>IF(I19="","",DATE(VALUE(LEFT($E$3,4)),VALUE(MID($E$3,FIND("年",$E$3)+1,FIND("月",$E$3)-FIND("年",$E$3)-1))+IF(AND($E$4&lt;&gt;"月末",I19&gt;IF($E$4="15日",15,IF($E$4="20日",20,31))),-1,0),I19))</x:f>
      </x:c>
      <x:c r="J20" s="28" t="str">
        <x:f>IF(J19="","",DATE(VALUE(LEFT($E$3,4)),VALUE(MID($E$3,FIND("年",$E$3)+1,FIND("月",$E$3)-FIND("年",$E$3)-1))+IF(AND($E$4&lt;&gt;"月末",J19&gt;IF($E$4="15日",15,IF($E$4="20日",20,31))),-1,0),J19))</x:f>
      </x:c>
      <x:c r="K20" s="28" t="str">
        <x:f>IF(K19="","",DATE(VALUE(LEFT($E$3,4)),VALUE(MID($E$3,FIND("年",$E$3)+1,FIND("月",$E$3)-FIND("年",$E$3)-1))+IF(AND($E$4&lt;&gt;"月末",K19&gt;IF($E$4="15日",15,IF($E$4="20日",20,31))),-1,0),K19))</x:f>
      </x:c>
      <x:c r="L20" s="28" t="str">
        <x:f>IF(L19="","",DATE(VALUE(LEFT($E$3,4)),VALUE(MID($E$3,FIND("年",$E$3)+1,FIND("月",$E$3)-FIND("年",$E$3)-1))+IF(AND($E$4&lt;&gt;"月末",L19&gt;IF($E$4="15日",15,IF($E$4="20日",20,31))),-1,0),L19))</x:f>
      </x:c>
      <x:c r="M20" s="28" t="str">
        <x:f>IF(M19="","",DATE(VALUE(LEFT($E$3,4)),VALUE(MID($E$3,FIND("年",$E$3)+1,FIND("月",$E$3)-FIND("年",$E$3)-1))+IF(AND($E$4&lt;&gt;"月末",M19&gt;IF($E$4="15日",15,IF($E$4="20日",20,31))),-1,0),M19))</x:f>
      </x:c>
      <x:c r="N20" s="28" t="str">
        <x:f>IF(N19="","",DATE(VALUE(LEFT($E$3,4)),VALUE(MID($E$3,FIND("年",$E$3)+1,FIND("月",$E$3)-FIND("年",$E$3)-1))+IF(AND($E$4&lt;&gt;"月末",N19&gt;IF($E$4="15日",15,IF($E$4="20日",20,31))),-1,0),N19))</x:f>
      </x:c>
      <x:c r="O20" s="28" t="str">
        <x:f>IF(O19="","",DATE(VALUE(LEFT($E$3,4)),VALUE(MID($E$3,FIND("年",$E$3)+1,FIND("月",$E$3)-FIND("年",$E$3)-1))+IF(AND($E$4&lt;&gt;"月末",O19&gt;IF($E$4="15日",15,IF($E$4="20日",20,31))),-1,0),O19))</x:f>
      </x:c>
      <x:c r="P20" s="28" t="str">
        <x:f>IF(P19="","",DATE(VALUE(LEFT($E$3,4)),VALUE(MID($E$3,FIND("年",$E$3)+1,FIND("月",$E$3)-FIND("年",$E$3)-1))+IF(AND($E$4&lt;&gt;"月末",P19&gt;IF($E$4="15日",15,IF($E$4="20日",20,31))),-1,0),P19))</x:f>
      </x:c>
      <x:c r="Q20" s="28" t="str">
        <x:f>IF(Q19="","",DATE(VALUE(LEFT($E$3,4)),VALUE(MID($E$3,FIND("年",$E$3)+1,FIND("月",$E$3)-FIND("年",$E$3)-1))+IF(AND($E$4&lt;&gt;"月末",Q19&gt;IF($E$4="15日",15,IF($E$4="20日",20,31))),-1,0),Q19))</x:f>
      </x:c>
      <x:c r="R20" s="28" t="str">
        <x:f>IF(R19="","",DATE(VALUE(LEFT($E$3,4)),VALUE(MID($E$3,FIND("年",$E$3)+1,FIND("月",$E$3)-FIND("年",$E$3)-1))+IF(AND($E$4&lt;&gt;"月末",R19&gt;IF($E$4="15日",15,IF($E$4="20日",20,31))),-1,0),R19))</x:f>
      </x:c>
      <x:c r="S20" s="28" t="str">
        <x:f>IF(S19="","",DATE(VALUE(LEFT($E$3,4)),VALUE(MID($E$3,FIND("年",$E$3)+1,FIND("月",$E$3)-FIND("年",$E$3)-1))+IF(AND($E$4&lt;&gt;"月末",S19&gt;IF($E$4="15日",15,IF($E$4="20日",20,31))),-1,0),S19))</x:f>
      </x:c>
      <x:c r="T20" s="28" t="str">
        <x:f>IF(T19="","",DATE(VALUE(LEFT($E$3,4)),VALUE(MID($E$3,FIND("年",$E$3)+1,FIND("月",$E$3)-FIND("年",$E$3)-1))+IF(AND($E$4&lt;&gt;"月末",T19&gt;IF($E$4="15日",15,IF($E$4="20日",20,31))),-1,0),T19))</x:f>
      </x:c>
      <x:c r="U20" s="28" t="str">
        <x:f>IF(U19="","",DATE(VALUE(LEFT($E$3,4)),VALUE(MID($E$3,FIND("年",$E$3)+1,FIND("月",$E$3)-FIND("年",$E$3)-1))+IF(AND($E$4&lt;&gt;"月末",U19&gt;IF($E$4="15日",15,IF($E$4="20日",20,31))),-1,0),U19))</x:f>
      </x:c>
      <x:c r="V20" s="28" t="str">
        <x:f>IF(V19="","",DATE(VALUE(LEFT($E$3,4)),VALUE(MID($E$3,FIND("年",$E$3)+1,FIND("月",$E$3)-FIND("年",$E$3)-1))+IF(AND($E$4&lt;&gt;"月末",V19&gt;IF($E$4="15日",15,IF($E$4="20日",20,31))),-1,0),V19))</x:f>
      </x:c>
      <x:c r="W20" s="11"/>
      <x:c r="X20" s="11"/>
    </x:row>
    <x:row r="21">
      <x:c r="A21" s="35" t="str">
        <x:v>バスタオル</x:v>
      </x:c>
      <x:c r="B21" s="31" t="n">
        <x:f>IFERROR(INDEX('顧客別単価マスタ'!$D$4:$D$100,MATCH(1,('顧客別単価マスタ'!$A$4:$A$100=$B$4)*('顧客別単価マスタ'!$B$4:$B$100="S002")*('顧客別単価マスタ'!$C$4:$C$100=A21),0)),INDEX('顧客別単価マスタ'!$D$4:$D$100,MATCH(1,('顧客別単価マスタ'!$A$4:$A$100=$B$4)*('顧客別単価マスタ'!$B$4:$B$100="")*('顧客別単価マスタ'!$C$4:$C$100=A21),0)))</x:f>
        <x:v>50</x:v>
      </x:c>
      <x:c r="C21" s="33" t="n">
        <x:v>80</x:v>
      </x:c>
      <x:c r="D21" s="33" t="n">
        <x:v>100</x:v>
      </x:c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1" t="n">
        <x:f>SUM(C21:V21)</x:f>
        <x:v>180</x:v>
      </x:c>
      <x:c r="X21" s="31" t="n">
        <x:f>W21*B21</x:f>
        <x:v>9000</x:v>
      </x:c>
    </x:row>
    <x:row r="22">
      <x:c r="A22" s="35" t="str">
        <x:v>フェイスタオル</x:v>
      </x:c>
      <x:c r="B22" s="31" t="n">
        <x:f>IFERROR(INDEX('顧客別単価マスタ'!$D$4:$D$100,MATCH(1,('顧客別単価マスタ'!$A$4:$A$100=$B$4)*('顧客別単価マスタ'!$B$4:$B$100="S002")*('顧客別単価マスタ'!$C$4:$C$100=A22),0)),INDEX('顧客別単価マスタ'!$D$4:$D$100,MATCH(1,('顧客別単価マスタ'!$A$4:$A$100=$B$4)*('顧客別単価マスタ'!$B$4:$B$100="")*('顧客別単価マスタ'!$C$4:$C$100=A22),0)))</x:f>
        <x:v>10</x:v>
      </x:c>
      <x:c r="C22" s="33" t="n">
        <x:v>100</x:v>
      </x:c>
      <x:c r="D22" s="33" t="n">
        <x:v>100</x:v>
      </x:c>
      <x:c r="E22" s="33" t="n">
        <x:v>100</x:v>
      </x:c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1" t="n">
        <x:f>SUM(C22:V22)</x:f>
        <x:v>300</x:v>
      </x:c>
      <x:c r="X22" s="31" t="n">
        <x:f>W22*B22</x:f>
        <x:v>3000</x:v>
      </x:c>
    </x:row>
    <x:row r="23">
      <x:c r="A23" s="35" t="str">
        <x:v>バスマット</x:v>
      </x:c>
      <x:c r="B23" s="31" t="n">
        <x:f>IFERROR(INDEX('顧客別単価マスタ'!$D$4:$D$100,MATCH(1,('顧客別単価マスタ'!$A$4:$A$100=$B$4)*('顧客別単価マスタ'!$B$4:$B$100="S002")*('顧客別単価マスタ'!$C$4:$C$100=A23),0)),INDEX('顧客別単価マスタ'!$D$4:$D$100,MATCH(1,('顧客別単価マスタ'!$A$4:$A$100=$B$4)*('顧客別単価マスタ'!$B$4:$B$100="")*('顧客別単価マスタ'!$C$4:$C$100=A23),0)))</x:f>
        <x:v>20</x:v>
      </x:c>
      <x:c r="C23" s="33" t="str"/>
      <x:c r="D23" s="33" t="n">
        <x:v>10</x:v>
      </x:c>
      <x:c r="E23" s="33" t="n">
        <x:v>10</x:v>
      </x:c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1" t="n">
        <x:f>SUM(C23:V23)</x:f>
        <x:v>20</x:v>
      </x:c>
      <x:c r="X23" s="31" t="n">
        <x:f>W23*B23</x:f>
        <x:v>400</x:v>
      </x:c>
    </x:row>
    <x:row r="24">
      <x:c r="A24" s="35" t="str">
        <x:v>配達料</x:v>
      </x:c>
      <x:c r="B24" s="31" t="n">
        <x:f>IFERROR(INDEX('顧客別単価マスタ'!$D$4:$D$100,MATCH(1,('顧客別単価マスタ'!$A$4:$A$100=$B$4)*('顧客別単価マスタ'!$B$4:$B$100="S002")*('顧客別単価マスタ'!$C$4:$C$100=A24),0)),INDEX('顧客別単価マスタ'!$D$4:$D$100,MATCH(1,('顧客別単価マスタ'!$A$4:$A$100=$B$4)*('顧客別単価マスタ'!$B$4:$B$100="")*('顧客別単価マスタ'!$C$4:$C$100=A24),0)))</x:f>
        <x:v>150</x:v>
      </x:c>
      <x:c r="C24" s="34" t="n">
        <x:f>IF(C20&lt;&gt;"",1,"")</x:f>
        <x:v>1</x:v>
      </x:c>
      <x:c r="D24" s="34" t="n">
        <x:f>IF(D20&lt;&gt;"",1,"")</x:f>
        <x:v>1</x:v>
      </x:c>
      <x:c r="E24" s="34" t="n">
        <x:f>IF(E20&lt;&gt;"",1,"")</x:f>
        <x:v>1</x:v>
      </x:c>
      <x:c r="F24" s="34" t="str">
        <x:f>IF(F20&lt;&gt;"",1,"")</x:f>
      </x:c>
      <x:c r="G24" s="34" t="str">
        <x:f>IF(G20&lt;&gt;"",1,"")</x:f>
      </x:c>
      <x:c r="H24" s="34" t="str">
        <x:f>IF(H20&lt;&gt;"",1,"")</x:f>
      </x:c>
      <x:c r="I24" s="34" t="str">
        <x:f>IF(I20&lt;&gt;"",1,"")</x:f>
      </x:c>
      <x:c r="J24" s="34" t="str">
        <x:f>IF(J20&lt;&gt;"",1,"")</x:f>
      </x:c>
      <x:c r="K24" s="34" t="str">
        <x:f>IF(K20&lt;&gt;"",1,"")</x:f>
      </x:c>
      <x:c r="L24" s="34" t="str">
        <x:f>IF(L20&lt;&gt;"",1,"")</x:f>
      </x:c>
      <x:c r="M24" s="34" t="str">
        <x:f>IF(M20&lt;&gt;"",1,"")</x:f>
      </x:c>
      <x:c r="N24" s="34" t="str">
        <x:f>IF(N20&lt;&gt;"",1,"")</x:f>
      </x:c>
      <x:c r="O24" s="34" t="str">
        <x:f>IF(O20&lt;&gt;"",1,"")</x:f>
      </x:c>
      <x:c r="P24" s="34" t="str">
        <x:f>IF(P20&lt;&gt;"",1,"")</x:f>
      </x:c>
      <x:c r="Q24" s="34" t="str">
        <x:f>IF(Q20&lt;&gt;"",1,"")</x:f>
      </x:c>
      <x:c r="R24" s="34" t="str">
        <x:f>IF(R20&lt;&gt;"",1,"")</x:f>
      </x:c>
      <x:c r="S24" s="34" t="str">
        <x:f>IF(S20&lt;&gt;"",1,"")</x:f>
      </x:c>
      <x:c r="T24" s="34" t="str">
        <x:f>IF(T20&lt;&gt;"",1,"")</x:f>
      </x:c>
      <x:c r="U24" s="34" t="str">
        <x:f>IF(U20&lt;&gt;"",1,"")</x:f>
      </x:c>
      <x:c r="V24" s="34" t="str">
        <x:f>IF(V20&lt;&gt;"",1,"")</x:f>
      </x:c>
      <x:c r="W24" s="31" t="n">
        <x:f>SUM(C24:V24)</x:f>
        <x:v>3</x:v>
      </x:c>
      <x:c r="X24" s="31" t="n">
        <x:f>W24*B24</x:f>
        <x:v>450</x:v>
      </x:c>
    </x:row>
  </x:sheetData>
  <x:mergeCells>
    <x:mergeCell ref="A1:X1"/>
    <x:mergeCell ref="A2:X2"/>
    <x:mergeCell ref="A7:X7"/>
    <x:mergeCell ref="A17:X17"/>
  </x:mergeCells>
  <x:dataValidations count="7">
    <x:dataValidation type="list" allowBlank="0" showDropDown="0" sqref="B4">
      <x:formula1>"CUST001,CUST002"</x:formula1>
    </x:dataValidation>
    <x:dataValidation type="list" allowBlank="0" showDropDown="0" sqref="B3">
      <x:formula1>"〇〇株式会社,現金テスト商店"</x:formula1>
    </x:dataValidation>
    <x:dataValidation type="list" allowBlank="0" showDropDown="0" sqref="E4">
      <x:formula1>"月末,15日,20日"</x:formula1>
    </x:dataValidation>
    <x:dataValidation type="whole" errorStyle="stop" operator="between" showErrorMessage="1" errorTitle="日付エラー" error="1〜31の日だけ入力してください。" sqref="C9:V9">
      <x:formula1>1</x:formula1>
      <x:formula2>31</x:formula2>
    </x:dataValidation>
    <x:dataValidation type="whole" errorStyle="stop" operator="greaterThanOrEqual" showErrorMessage="1" errorTitle="数量エラー" error="0以上の整数を入力してください。" sqref="C11:V14">
      <x:formula1>0</x:formula1>
    </x:dataValidation>
    <x:dataValidation type="whole" errorStyle="stop" operator="between" showErrorMessage="1" errorTitle="日付エラー" error="1〜31の日だけ入力してください。" sqref="C19:V19">
      <x:formula1>1</x:formula1>
      <x:formula2>31</x:formula2>
    </x:dataValidation>
    <x:dataValidation type="whole" errorStyle="stop" operator="greaterThanOrEqual" showErrorMessage="1" errorTitle="数量エラー" error="0以上の整数を入力してください。" sqref="C21:V2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5999984741211" hidden="0" customWidth="1"/>
    <x:col min="2" max="2" width="19.020000457763672" hidden="0" customWidth="1"/>
    <x:col min="3" max="3" width="11.65999984741211" hidden="0" customWidth="1"/>
    <x:col min="4" max="4" width="11.65999984741211" hidden="0" customWidth="1"/>
    <x:col min="5" max="5" width="16.559999465942383" hidden="0" customWidth="1"/>
    <x:col min="6" max="6" width="9.199999809265137" hidden="0" customWidth="1"/>
    <x:col min="7" max="7" width="9.199999809265137" hidden="0" customWidth="1"/>
    <x:col min="8" max="8" width="11.65999984741211" hidden="0" customWidth="1"/>
    <x:col min="9" max="9" width="10.430000305175781" hidden="0" customWidth="1"/>
    <x:col min="10" max="10" width="19.020000457763672" hidden="0" customWidth="1"/>
  </x:cols>
  <x:sheetData>
    <x:row r="1">
      <x:c r="A1" s="4" t="str">
        <x:v>納品台帳_自動生成</x:v>
      </x:c>
      <x:c r="B1" s="4" t="str">
        <x:v>納品台帳_自動生成</x:v>
      </x:c>
      <x:c r="C1" s="4" t="str">
        <x:v>納品台帳_自動生成</x:v>
      </x:c>
      <x:c r="D1" s="4" t="str">
        <x:v>納品台帳_自動生成</x:v>
      </x:c>
      <x:c r="E1" s="4" t="str">
        <x:v>納品台帳_自動生成</x:v>
      </x:c>
      <x:c r="F1" s="4" t="str">
        <x:v>納品台帳_自動生成</x:v>
      </x:c>
      <x:c r="G1" s="4" t="str">
        <x:v>納品台帳_自動生成</x:v>
      </x:c>
      <x:c r="H1" s="4" t="str">
        <x:v>納品台帳_自動生成</x:v>
      </x:c>
      <x:c r="I1" s="4" t="str">
        <x:v>納品台帳_自動生成</x:v>
      </x:c>
      <x:c r="J1" s="4" t="str">
        <x:v>納品台帳_自動生成</x:v>
      </x:c>
    </x:row>
    <x:row r="3">
      <x:c r="A3" s="10" t="str">
        <x:v>請求月</x:v>
      </x:c>
      <x:c r="B3" s="10" t="str">
        <x:v>請求先</x:v>
      </x:c>
      <x:c r="C3" s="10" t="str">
        <x:v>店舗名</x:v>
      </x:c>
      <x:c r="D3" s="10" t="str">
        <x:v>納品日</x:v>
      </x:c>
      <x:c r="E3" s="10" t="str">
        <x:v>商品名</x:v>
      </x:c>
      <x:c r="F3" s="10" t="str">
        <x:v>数量</x:v>
      </x:c>
      <x:c r="G3" s="10" t="str">
        <x:v>単価</x:v>
      </x:c>
      <x:c r="H3" s="10" t="str">
        <x:v>金額</x:v>
      </x:c>
      <x:c r="I3" s="10" t="str">
        <x:v>区分</x:v>
      </x:c>
      <x:c r="J3" s="10" t="str">
        <x:v>備考</x:v>
      </x:c>
    </x:row>
    <x:row r="4">
      <x:c r="A4" s="12" t="str">
        <x:f>IF(OR('納品入力_横型'!C10="",'納品入力_横型'!C11=""),"",'納品入力_横型'!$E$3)</x:f>
        <x:v>2026年4月</x:v>
      </x:c>
      <x:c r="B4" s="12" t="str">
        <x:f>IF(A4="","",'納品入力_横型'!$B$3)</x:f>
        <x:v>〇〇株式会社</x:v>
      </x:c>
      <x:c r="C4" s="12" t="str">
        <x:f>IF(A4="","","本店")</x:f>
        <x:v>本店</x:v>
      </x:c>
      <x:c r="D4" s="36" t="n">
        <x:f>IF(A4="","",'納品入力_横型'!C10)</x:f>
        <x:v>46113</x:v>
      </x:c>
      <x:c r="E4" s="12" t="str">
        <x:f>IF(A4="","",'納品入力_横型'!A11)</x:f>
        <x:v>バスタオル</x:v>
      </x:c>
      <x:c r="F4" s="13" t="n">
        <x:f>IF(A4="","",'納品入力_横型'!C11)</x:f>
        <x:v>100</x:v>
      </x:c>
      <x:c r="G4" s="13" t="n">
        <x:f>IF(A4="","",'納品入力_横型'!B11)</x:f>
        <x:v>50</x:v>
      </x:c>
      <x:c r="H4" s="13" t="n">
        <x:f>IF(A4="","",F4*G4)</x:f>
        <x:v>5000</x:v>
      </x:c>
      <x:c r="I4" s="12" t="str">
        <x:f>IF(A4="","",INDEX('顧客別単価マスタ'!$E$4:$E$100,MATCH(1,('顧客別単価マスタ'!$A$4:$A$100='納品入力_横型'!$B$4)*('顧客別単価マスタ'!$C$4:$C$100=E4)*IF('顧客別単価マスタ'!$B$4:$B$100="",1,'顧客別単価マスタ'!$B$4:$B$100="S001"),0)))</x:f>
        <x:v>商品</x:v>
      </x:c>
      <x:c r="J4" s="12" t="str">
        <x:f>IF(A4="","","")</x:f>
      </x:c>
    </x:row>
    <x:row r="5">
      <x:c r="A5" s="12" t="str">
        <x:f>IF(OR('納品入力_横型'!D10="",'納品入力_横型'!D11=""),"",'納品入力_横型'!$E$3)</x:f>
      </x:c>
      <x:c r="B5" s="12" t="str">
        <x:f>IF(A5="","",'納品入力_横型'!$B$3)</x:f>
      </x:c>
      <x:c r="C5" s="12" t="str">
        <x:f>IF(A5="","","本店")</x:f>
      </x:c>
      <x:c r="D5" s="36" t="str">
        <x:f>IF(A5="","",'納品入力_横型'!D10)</x:f>
      </x:c>
      <x:c r="E5" s="12" t="str">
        <x:f>IF(A5="","",'納品入力_横型'!A11)</x:f>
      </x:c>
      <x:c r="F5" s="13" t="str">
        <x:f>IF(A5="","",'納品入力_横型'!D11)</x:f>
      </x:c>
      <x:c r="G5" s="13" t="str">
        <x:f>IF(A5="","",'納品入力_横型'!B11)</x:f>
      </x:c>
      <x:c r="H5" s="13" t="str">
        <x:f>IF(A5="","",F5*G5)</x:f>
      </x:c>
      <x:c r="I5" s="12" t="str">
        <x:f>IF(A5="","",INDEX('顧客別単価マスタ'!$E$4:$E$100,MATCH(1,('顧客別単価マスタ'!$A$4:$A$100='納品入力_横型'!$B$4)*('顧客別単価マスタ'!$C$4:$C$100=E5)*IF('顧客別単価マスタ'!$B$4:$B$100="",1,'顧客別単価マスタ'!$B$4:$B$100="S001"),0)))</x:f>
      </x:c>
      <x:c r="J5" s="12" t="str">
        <x:f>IF(A5="","","")</x:f>
      </x:c>
    </x:row>
    <x:row r="6">
      <x:c r="A6" s="12" t="str">
        <x:f>IF(OR('納品入力_横型'!E10="",'納品入力_横型'!E11=""),"",'納品入力_横型'!$E$3)</x:f>
        <x:v>2026年4月</x:v>
      </x:c>
      <x:c r="B6" s="12" t="str">
        <x:f>IF(A6="","",'納品入力_横型'!$B$3)</x:f>
        <x:v>〇〇株式会社</x:v>
      </x:c>
      <x:c r="C6" s="12" t="str">
        <x:f>IF(A6="","","本店")</x:f>
        <x:v>本店</x:v>
      </x:c>
      <x:c r="D6" s="36" t="n">
        <x:f>IF(A6="","",'納品入力_横型'!E10)</x:f>
        <x:v>46121</x:v>
      </x:c>
      <x:c r="E6" s="12" t="str">
        <x:f>IF(A6="","",'納品入力_横型'!A11)</x:f>
        <x:v>バスタオル</x:v>
      </x:c>
      <x:c r="F6" s="13" t="n">
        <x:f>IF(A6="","",'納品入力_横型'!E11)</x:f>
        <x:v>50</x:v>
      </x:c>
      <x:c r="G6" s="13" t="n">
        <x:f>IF(A6="","",'納品入力_横型'!B11)</x:f>
        <x:v>50</x:v>
      </x:c>
      <x:c r="H6" s="13" t="n">
        <x:f>IF(A6="","",F6*G6)</x:f>
        <x:v>2500</x:v>
      </x:c>
      <x:c r="I6" s="12" t="str">
        <x:f>IF(A6="","",INDEX('顧客別単価マスタ'!$E$4:$E$100,MATCH(1,('顧客別単価マスタ'!$A$4:$A$100='納品入力_横型'!$B$4)*('顧客別単価マスタ'!$C$4:$C$100=E6)*IF('顧客別単価マスタ'!$B$4:$B$100="",1,'顧客別単価マスタ'!$B$4:$B$100="S001"),0)))</x:f>
        <x:v>商品</x:v>
      </x:c>
      <x:c r="J6" s="12" t="str">
        <x:f>IF(A6="","","")</x:f>
      </x:c>
    </x:row>
    <x:row r="7">
      <x:c r="A7" s="12" t="str">
        <x:f>IF(OR('納品入力_横型'!F10="",'納品入力_横型'!F11=""),"",'納品入力_横型'!$E$3)</x:f>
        <x:v>2026年4月</x:v>
      </x:c>
      <x:c r="B7" s="12" t="str">
        <x:f>IF(A7="","",'納品入力_横型'!$B$3)</x:f>
        <x:v>〇〇株式会社</x:v>
      </x:c>
      <x:c r="C7" s="12" t="str">
        <x:f>IF(A7="","","本店")</x:f>
        <x:v>本店</x:v>
      </x:c>
      <x:c r="D7" s="36" t="n">
        <x:f>IF(A7="","",'納品入力_横型'!F10)</x:f>
        <x:v>46127</x:v>
      </x:c>
      <x:c r="E7" s="12" t="str">
        <x:f>IF(A7="","",'納品入力_横型'!A11)</x:f>
        <x:v>バスタオル</x:v>
      </x:c>
      <x:c r="F7" s="13" t="n">
        <x:f>IF(A7="","",'納品入力_横型'!F11)</x:f>
        <x:v>50</x:v>
      </x:c>
      <x:c r="G7" s="13" t="n">
        <x:f>IF(A7="","",'納品入力_横型'!B11)</x:f>
        <x:v>50</x:v>
      </x:c>
      <x:c r="H7" s="13" t="n">
        <x:f>IF(A7="","",F7*G7)</x:f>
        <x:v>2500</x:v>
      </x:c>
      <x:c r="I7" s="12" t="str">
        <x:f>IF(A7="","",INDEX('顧客別単価マスタ'!$E$4:$E$100,MATCH(1,('顧客別単価マスタ'!$A$4:$A$100='納品入力_横型'!$B$4)*('顧客別単価マスタ'!$C$4:$C$100=E7)*IF('顧客別単価マスタ'!$B$4:$B$100="",1,'顧客別単価マスタ'!$B$4:$B$100="S001"),0)))</x:f>
        <x:v>商品</x:v>
      </x:c>
      <x:c r="J7" s="12" t="str">
        <x:f>IF(A7="","","")</x:f>
      </x:c>
    </x:row>
    <x:row r="8">
      <x:c r="A8" s="12" t="str">
        <x:f>IF(OR('納品入力_横型'!G10="",'納品入力_横型'!G11=""),"",'納品入力_横型'!$E$3)</x:f>
      </x:c>
      <x:c r="B8" s="12" t="str">
        <x:f>IF(A8="","",'納品入力_横型'!$B$3)</x:f>
      </x:c>
      <x:c r="C8" s="12" t="str">
        <x:f>IF(A8="","","本店")</x:f>
      </x:c>
      <x:c r="D8" s="36" t="str">
        <x:f>IF(A8="","",'納品入力_横型'!G10)</x:f>
      </x:c>
      <x:c r="E8" s="12" t="str">
        <x:f>IF(A8="","",'納品入力_横型'!A11)</x:f>
      </x:c>
      <x:c r="F8" s="13" t="str">
        <x:f>IF(A8="","",'納品入力_横型'!G11)</x:f>
      </x:c>
      <x:c r="G8" s="13" t="str">
        <x:f>IF(A8="","",'納品入力_横型'!B11)</x:f>
      </x:c>
      <x:c r="H8" s="13" t="str">
        <x:f>IF(A8="","",F8*G8)</x:f>
      </x:c>
      <x:c r="I8" s="12" t="str">
        <x:f>IF(A8="","",INDEX('顧客別単価マスタ'!$E$4:$E$100,MATCH(1,('顧客別単価マスタ'!$A$4:$A$100='納品入力_横型'!$B$4)*('顧客別単価マスタ'!$C$4:$C$100=E8)*IF('顧客別単価マスタ'!$B$4:$B$100="",1,'顧客別単価マスタ'!$B$4:$B$100="S001"),0)))</x:f>
      </x:c>
      <x:c r="J8" s="12" t="str">
        <x:f>IF(A8="","","")</x:f>
      </x:c>
    </x:row>
    <x:row r="9">
      <x:c r="A9" s="12" t="str">
        <x:f>IF(OR('納品入力_横型'!H10="",'納品入力_横型'!H11=""),"",'納品入力_横型'!$E$3)</x:f>
      </x:c>
      <x:c r="B9" s="12" t="str">
        <x:f>IF(A9="","",'納品入力_横型'!$B$3)</x:f>
      </x:c>
      <x:c r="C9" s="12" t="str">
        <x:f>IF(A9="","","本店")</x:f>
      </x:c>
      <x:c r="D9" s="36" t="str">
        <x:f>IF(A9="","",'納品入力_横型'!H10)</x:f>
      </x:c>
      <x:c r="E9" s="12" t="str">
        <x:f>IF(A9="","",'納品入力_横型'!A11)</x:f>
      </x:c>
      <x:c r="F9" s="13" t="str">
        <x:f>IF(A9="","",'納品入力_横型'!H11)</x:f>
      </x:c>
      <x:c r="G9" s="13" t="str">
        <x:f>IF(A9="","",'納品入力_横型'!B11)</x:f>
      </x:c>
      <x:c r="H9" s="13" t="str">
        <x:f>IF(A9="","",F9*G9)</x:f>
      </x:c>
      <x:c r="I9" s="12" t="str">
        <x:f>IF(A9="","",INDEX('顧客別単価マスタ'!$E$4:$E$100,MATCH(1,('顧客別単価マスタ'!$A$4:$A$100='納品入力_横型'!$B$4)*('顧客別単価マスタ'!$C$4:$C$100=E9)*IF('顧客別単価マスタ'!$B$4:$B$100="",1,'顧客別単価マスタ'!$B$4:$B$100="S001"),0)))</x:f>
      </x:c>
      <x:c r="J9" s="12" t="str">
        <x:f>IF(A9="","","")</x:f>
      </x:c>
    </x:row>
    <x:row r="10">
      <x:c r="A10" s="12" t="str">
        <x:f>IF(OR('納品入力_横型'!I10="",'納品入力_横型'!I11=""),"",'納品入力_横型'!$E$3)</x:f>
      </x:c>
      <x:c r="B10" s="12" t="str">
        <x:f>IF(A10="","",'納品入力_横型'!$B$3)</x:f>
      </x:c>
      <x:c r="C10" s="12" t="str">
        <x:f>IF(A10="","","本店")</x:f>
      </x:c>
      <x:c r="D10" s="36" t="str">
        <x:f>IF(A10="","",'納品入力_横型'!I10)</x:f>
      </x:c>
      <x:c r="E10" s="12" t="str">
        <x:f>IF(A10="","",'納品入力_横型'!A11)</x:f>
      </x:c>
      <x:c r="F10" s="13" t="str">
        <x:f>IF(A10="","",'納品入力_横型'!I11)</x:f>
      </x:c>
      <x:c r="G10" s="13" t="str">
        <x:f>IF(A10="","",'納品入力_横型'!B11)</x:f>
      </x:c>
      <x:c r="H10" s="13" t="str">
        <x:f>IF(A10="","",F10*G10)</x:f>
      </x:c>
      <x:c r="I10" s="12" t="str">
        <x:f>IF(A10="","",INDEX('顧客別単価マスタ'!$E$4:$E$100,MATCH(1,('顧客別単価マスタ'!$A$4:$A$100='納品入力_横型'!$B$4)*('顧客別単価マスタ'!$C$4:$C$100=E10)*IF('顧客別単価マスタ'!$B$4:$B$100="",1,'顧客別単価マスタ'!$B$4:$B$100="S001"),0)))</x:f>
      </x:c>
      <x:c r="J10" s="12" t="str">
        <x:f>IF(A10="","","")</x:f>
      </x:c>
    </x:row>
    <x:row r="11">
      <x:c r="A11" s="12" t="str">
        <x:f>IF(OR('納品入力_横型'!J10="",'納品入力_横型'!J11=""),"",'納品入力_横型'!$E$3)</x:f>
      </x:c>
      <x:c r="B11" s="12" t="str">
        <x:f>IF(A11="","",'納品入力_横型'!$B$3)</x:f>
      </x:c>
      <x:c r="C11" s="12" t="str">
        <x:f>IF(A11="","","本店")</x:f>
      </x:c>
      <x:c r="D11" s="36" t="str">
        <x:f>IF(A11="","",'納品入力_横型'!J10)</x:f>
      </x:c>
      <x:c r="E11" s="12" t="str">
        <x:f>IF(A11="","",'納品入力_横型'!A11)</x:f>
      </x:c>
      <x:c r="F11" s="13" t="str">
        <x:f>IF(A11="","",'納品入力_横型'!J11)</x:f>
      </x:c>
      <x:c r="G11" s="13" t="str">
        <x:f>IF(A11="","",'納品入力_横型'!B11)</x:f>
      </x:c>
      <x:c r="H11" s="13" t="str">
        <x:f>IF(A11="","",F11*G11)</x:f>
      </x:c>
      <x:c r="I11" s="12" t="str">
        <x:f>IF(A11="","",INDEX('顧客別単価マスタ'!$E$4:$E$100,MATCH(1,('顧客別単価マスタ'!$A$4:$A$100='納品入力_横型'!$B$4)*('顧客別単価マスタ'!$C$4:$C$100=E11)*IF('顧客別単価マスタ'!$B$4:$B$100="",1,'顧客別単価マスタ'!$B$4:$B$100="S001"),0)))</x:f>
      </x:c>
      <x:c r="J11" s="12" t="str">
        <x:f>IF(A11="","","")</x:f>
      </x:c>
    </x:row>
    <x:row r="12">
      <x:c r="A12" s="12" t="str">
        <x:f>IF(OR('納品入力_横型'!K10="",'納品入力_横型'!K11=""),"",'納品入力_横型'!$E$3)</x:f>
      </x:c>
      <x:c r="B12" s="12" t="str">
        <x:f>IF(A12="","",'納品入力_横型'!$B$3)</x:f>
      </x:c>
      <x:c r="C12" s="12" t="str">
        <x:f>IF(A12="","","本店")</x:f>
      </x:c>
      <x:c r="D12" s="36" t="str">
        <x:f>IF(A12="","",'納品入力_横型'!K10)</x:f>
      </x:c>
      <x:c r="E12" s="12" t="str">
        <x:f>IF(A12="","",'納品入力_横型'!A11)</x:f>
      </x:c>
      <x:c r="F12" s="13" t="str">
        <x:f>IF(A12="","",'納品入力_横型'!K11)</x:f>
      </x:c>
      <x:c r="G12" s="13" t="str">
        <x:f>IF(A12="","",'納品入力_横型'!B11)</x:f>
      </x:c>
      <x:c r="H12" s="13" t="str">
        <x:f>IF(A12="","",F12*G12)</x:f>
      </x:c>
      <x:c r="I12" s="12" t="str">
        <x:f>IF(A12="","",INDEX('顧客別単価マスタ'!$E$4:$E$100,MATCH(1,('顧客別単価マスタ'!$A$4:$A$100='納品入力_横型'!$B$4)*('顧客別単価マスタ'!$C$4:$C$100=E12)*IF('顧客別単価マスタ'!$B$4:$B$100="",1,'顧客別単価マスタ'!$B$4:$B$100="S001"),0)))</x:f>
      </x:c>
      <x:c r="J12" s="12" t="str">
        <x:f>IF(A12="","","")</x:f>
      </x:c>
    </x:row>
    <x:row r="13">
      <x:c r="A13" s="12" t="str">
        <x:f>IF(OR('納品入力_横型'!L10="",'納品入力_横型'!L11=""),"",'納品入力_横型'!$E$3)</x:f>
      </x:c>
      <x:c r="B13" s="12" t="str">
        <x:f>IF(A13="","",'納品入力_横型'!$B$3)</x:f>
      </x:c>
      <x:c r="C13" s="12" t="str">
        <x:f>IF(A13="","","本店")</x:f>
      </x:c>
      <x:c r="D13" s="36" t="str">
        <x:f>IF(A13="","",'納品入力_横型'!L10)</x:f>
      </x:c>
      <x:c r="E13" s="12" t="str">
        <x:f>IF(A13="","",'納品入力_横型'!A11)</x:f>
      </x:c>
      <x:c r="F13" s="13" t="str">
        <x:f>IF(A13="","",'納品入力_横型'!L11)</x:f>
      </x:c>
      <x:c r="G13" s="13" t="str">
        <x:f>IF(A13="","",'納品入力_横型'!B11)</x:f>
      </x:c>
      <x:c r="H13" s="13" t="str">
        <x:f>IF(A13="","",F13*G13)</x:f>
      </x:c>
      <x:c r="I13" s="12" t="str">
        <x:f>IF(A13="","",INDEX('顧客別単価マスタ'!$E$4:$E$100,MATCH(1,('顧客別単価マスタ'!$A$4:$A$100='納品入力_横型'!$B$4)*('顧客別単価マスタ'!$C$4:$C$100=E13)*IF('顧客別単価マスタ'!$B$4:$B$100="",1,'顧客別単価マスタ'!$B$4:$B$100="S001"),0)))</x:f>
      </x:c>
      <x:c r="J13" s="12" t="str">
        <x:f>IF(A13="","","")</x:f>
      </x:c>
    </x:row>
    <x:row r="14">
      <x:c r="A14" s="12" t="str">
        <x:f>IF(OR('納品入力_横型'!M10="",'納品入力_横型'!M11=""),"",'納品入力_横型'!$E$3)</x:f>
      </x:c>
      <x:c r="B14" s="12" t="str">
        <x:f>IF(A14="","",'納品入力_横型'!$B$3)</x:f>
      </x:c>
      <x:c r="C14" s="12" t="str">
        <x:f>IF(A14="","","本店")</x:f>
      </x:c>
      <x:c r="D14" s="36" t="str">
        <x:f>IF(A14="","",'納品入力_横型'!M10)</x:f>
      </x:c>
      <x:c r="E14" s="12" t="str">
        <x:f>IF(A14="","",'納品入力_横型'!A11)</x:f>
      </x:c>
      <x:c r="F14" s="13" t="str">
        <x:f>IF(A14="","",'納品入力_横型'!M11)</x:f>
      </x:c>
      <x:c r="G14" s="13" t="str">
        <x:f>IF(A14="","",'納品入力_横型'!B11)</x:f>
      </x:c>
      <x:c r="H14" s="13" t="str">
        <x:f>IF(A14="","",F14*G14)</x:f>
      </x:c>
      <x:c r="I14" s="12" t="str">
        <x:f>IF(A14="","",INDEX('顧客別単価マスタ'!$E$4:$E$100,MATCH(1,('顧客別単価マスタ'!$A$4:$A$100='納品入力_横型'!$B$4)*('顧客別単価マスタ'!$C$4:$C$100=E14)*IF('顧客別単価マスタ'!$B$4:$B$100="",1,'顧客別単価マスタ'!$B$4:$B$100="S001"),0)))</x:f>
      </x:c>
      <x:c r="J14" s="12" t="str">
        <x:f>IF(A14="","","")</x:f>
      </x:c>
    </x:row>
    <x:row r="15">
      <x:c r="A15" s="12" t="str">
        <x:f>IF(OR('納品入力_横型'!N10="",'納品入力_横型'!N11=""),"",'納品入力_横型'!$E$3)</x:f>
      </x:c>
      <x:c r="B15" s="12" t="str">
        <x:f>IF(A15="","",'納品入力_横型'!$B$3)</x:f>
      </x:c>
      <x:c r="C15" s="12" t="str">
        <x:f>IF(A15="","","本店")</x:f>
      </x:c>
      <x:c r="D15" s="36" t="str">
        <x:f>IF(A15="","",'納品入力_横型'!N10)</x:f>
      </x:c>
      <x:c r="E15" s="12" t="str">
        <x:f>IF(A15="","",'納品入力_横型'!A11)</x:f>
      </x:c>
      <x:c r="F15" s="13" t="str">
        <x:f>IF(A15="","",'納品入力_横型'!N11)</x:f>
      </x:c>
      <x:c r="G15" s="13" t="str">
        <x:f>IF(A15="","",'納品入力_横型'!B11)</x:f>
      </x:c>
      <x:c r="H15" s="13" t="str">
        <x:f>IF(A15="","",F15*G15)</x:f>
      </x:c>
      <x:c r="I15" s="12" t="str">
        <x:f>IF(A15="","",INDEX('顧客別単価マスタ'!$E$4:$E$100,MATCH(1,('顧客別単価マスタ'!$A$4:$A$100='納品入力_横型'!$B$4)*('顧客別単価マスタ'!$C$4:$C$100=E15)*IF('顧客別単価マスタ'!$B$4:$B$100="",1,'顧客別単価マスタ'!$B$4:$B$100="S001"),0)))</x:f>
      </x:c>
      <x:c r="J15" s="12" t="str">
        <x:f>IF(A15="","","")</x:f>
      </x:c>
    </x:row>
    <x:row r="16">
      <x:c r="A16" s="12" t="str">
        <x:f>IF(OR('納品入力_横型'!O10="",'納品入力_横型'!O11=""),"",'納品入力_横型'!$E$3)</x:f>
      </x:c>
      <x:c r="B16" s="12" t="str">
        <x:f>IF(A16="","",'納品入力_横型'!$B$3)</x:f>
      </x:c>
      <x:c r="C16" s="12" t="str">
        <x:f>IF(A16="","","本店")</x:f>
      </x:c>
      <x:c r="D16" s="36" t="str">
        <x:f>IF(A16="","",'納品入力_横型'!O10)</x:f>
      </x:c>
      <x:c r="E16" s="12" t="str">
        <x:f>IF(A16="","",'納品入力_横型'!A11)</x:f>
      </x:c>
      <x:c r="F16" s="13" t="str">
        <x:f>IF(A16="","",'納品入力_横型'!O11)</x:f>
      </x:c>
      <x:c r="G16" s="13" t="str">
        <x:f>IF(A16="","",'納品入力_横型'!B11)</x:f>
      </x:c>
      <x:c r="H16" s="13" t="str">
        <x:f>IF(A16="","",F16*G16)</x:f>
      </x:c>
      <x:c r="I16" s="12" t="str">
        <x:f>IF(A16="","",INDEX('顧客別単価マスタ'!$E$4:$E$100,MATCH(1,('顧客別単価マスタ'!$A$4:$A$100='納品入力_横型'!$B$4)*('顧客別単価マスタ'!$C$4:$C$100=E16)*IF('顧客別単価マスタ'!$B$4:$B$100="",1,'顧客別単価マスタ'!$B$4:$B$100="S001"),0)))</x:f>
      </x:c>
      <x:c r="J16" s="12" t="str">
        <x:f>IF(A16="","","")</x:f>
      </x:c>
    </x:row>
    <x:row r="17">
      <x:c r="A17" s="12" t="str">
        <x:f>IF(OR('納品入力_横型'!P10="",'納品入力_横型'!P11=""),"",'納品入力_横型'!$E$3)</x:f>
      </x:c>
      <x:c r="B17" s="12" t="str">
        <x:f>IF(A17="","",'納品入力_横型'!$B$3)</x:f>
      </x:c>
      <x:c r="C17" s="12" t="str">
        <x:f>IF(A17="","","本店")</x:f>
      </x:c>
      <x:c r="D17" s="36" t="str">
        <x:f>IF(A17="","",'納品入力_横型'!P10)</x:f>
      </x:c>
      <x:c r="E17" s="12" t="str">
        <x:f>IF(A17="","",'納品入力_横型'!A11)</x:f>
      </x:c>
      <x:c r="F17" s="13" t="str">
        <x:f>IF(A17="","",'納品入力_横型'!P11)</x:f>
      </x:c>
      <x:c r="G17" s="13" t="str">
        <x:f>IF(A17="","",'納品入力_横型'!B11)</x:f>
      </x:c>
      <x:c r="H17" s="13" t="str">
        <x:f>IF(A17="","",F17*G17)</x:f>
      </x:c>
      <x:c r="I17" s="12" t="str">
        <x:f>IF(A17="","",INDEX('顧客別単価マスタ'!$E$4:$E$100,MATCH(1,('顧客別単価マスタ'!$A$4:$A$100='納品入力_横型'!$B$4)*('顧客別単価マスタ'!$C$4:$C$100=E17)*IF('顧客別単価マスタ'!$B$4:$B$100="",1,'顧客別単価マスタ'!$B$4:$B$100="S001"),0)))</x:f>
      </x:c>
      <x:c r="J17" s="12" t="str">
        <x:f>IF(A17="","","")</x:f>
      </x:c>
    </x:row>
    <x:row r="18">
      <x:c r="A18" s="12" t="str">
        <x:f>IF(OR('納品入力_横型'!Q10="",'納品入力_横型'!Q11=""),"",'納品入力_横型'!$E$3)</x:f>
      </x:c>
      <x:c r="B18" s="12" t="str">
        <x:f>IF(A18="","",'納品入力_横型'!$B$3)</x:f>
      </x:c>
      <x:c r="C18" s="12" t="str">
        <x:f>IF(A18="","","本店")</x:f>
      </x:c>
      <x:c r="D18" s="36" t="str">
        <x:f>IF(A18="","",'納品入力_横型'!Q10)</x:f>
      </x:c>
      <x:c r="E18" s="12" t="str">
        <x:f>IF(A18="","",'納品入力_横型'!A11)</x:f>
      </x:c>
      <x:c r="F18" s="13" t="str">
        <x:f>IF(A18="","",'納品入力_横型'!Q11)</x:f>
      </x:c>
      <x:c r="G18" s="13" t="str">
        <x:f>IF(A18="","",'納品入力_横型'!B11)</x:f>
      </x:c>
      <x:c r="H18" s="13" t="str">
        <x:f>IF(A18="","",F18*G18)</x:f>
      </x:c>
      <x:c r="I18" s="12" t="str">
        <x:f>IF(A18="","",INDEX('顧客別単価マスタ'!$E$4:$E$100,MATCH(1,('顧客別単価マスタ'!$A$4:$A$100='納品入力_横型'!$B$4)*('顧客別単価マスタ'!$C$4:$C$100=E18)*IF('顧客別単価マスタ'!$B$4:$B$100="",1,'顧客別単価マスタ'!$B$4:$B$100="S001"),0)))</x:f>
      </x:c>
      <x:c r="J18" s="12" t="str">
        <x:f>IF(A18="","","")</x:f>
      </x:c>
    </x:row>
    <x:row r="19">
      <x:c r="A19" s="12" t="str">
        <x:f>IF(OR('納品入力_横型'!R10="",'納品入力_横型'!R11=""),"",'納品入力_横型'!$E$3)</x:f>
      </x:c>
      <x:c r="B19" s="12" t="str">
        <x:f>IF(A19="","",'納品入力_横型'!$B$3)</x:f>
      </x:c>
      <x:c r="C19" s="12" t="str">
        <x:f>IF(A19="","","本店")</x:f>
      </x:c>
      <x:c r="D19" s="36" t="str">
        <x:f>IF(A19="","",'納品入力_横型'!R10)</x:f>
      </x:c>
      <x:c r="E19" s="12" t="str">
        <x:f>IF(A19="","",'納品入力_横型'!A11)</x:f>
      </x:c>
      <x:c r="F19" s="13" t="str">
        <x:f>IF(A19="","",'納品入力_横型'!R11)</x:f>
      </x:c>
      <x:c r="G19" s="13" t="str">
        <x:f>IF(A19="","",'納品入力_横型'!B11)</x:f>
      </x:c>
      <x:c r="H19" s="13" t="str">
        <x:f>IF(A19="","",F19*G19)</x:f>
      </x:c>
      <x:c r="I19" s="12" t="str">
        <x:f>IF(A19="","",INDEX('顧客別単価マスタ'!$E$4:$E$100,MATCH(1,('顧客別単価マスタ'!$A$4:$A$100='納品入力_横型'!$B$4)*('顧客別単価マスタ'!$C$4:$C$100=E19)*IF('顧客別単価マスタ'!$B$4:$B$100="",1,'顧客別単価マスタ'!$B$4:$B$100="S001"),0)))</x:f>
      </x:c>
      <x:c r="J19" s="12" t="str">
        <x:f>IF(A19="","","")</x:f>
      </x:c>
    </x:row>
    <x:row r="20">
      <x:c r="A20" s="12" t="str">
        <x:f>IF(OR('納品入力_横型'!S10="",'納品入力_横型'!S11=""),"",'納品入力_横型'!$E$3)</x:f>
      </x:c>
      <x:c r="B20" s="12" t="str">
        <x:f>IF(A20="","",'納品入力_横型'!$B$3)</x:f>
      </x:c>
      <x:c r="C20" s="12" t="str">
        <x:f>IF(A20="","","本店")</x:f>
      </x:c>
      <x:c r="D20" s="36" t="str">
        <x:f>IF(A20="","",'納品入力_横型'!S10)</x:f>
      </x:c>
      <x:c r="E20" s="12" t="str">
        <x:f>IF(A20="","",'納品入力_横型'!A11)</x:f>
      </x:c>
      <x:c r="F20" s="13" t="str">
        <x:f>IF(A20="","",'納品入力_横型'!S11)</x:f>
      </x:c>
      <x:c r="G20" s="13" t="str">
        <x:f>IF(A20="","",'納品入力_横型'!B11)</x:f>
      </x:c>
      <x:c r="H20" s="13" t="str">
        <x:f>IF(A20="","",F20*G20)</x:f>
      </x:c>
      <x:c r="I20" s="12" t="str">
        <x:f>IF(A20="","",INDEX('顧客別単価マスタ'!$E$4:$E$100,MATCH(1,('顧客別単価マスタ'!$A$4:$A$100='納品入力_横型'!$B$4)*('顧客別単価マスタ'!$C$4:$C$100=E20)*IF('顧客別単価マスタ'!$B$4:$B$100="",1,'顧客別単価マスタ'!$B$4:$B$100="S001"),0)))</x:f>
      </x:c>
      <x:c r="J20" s="12" t="str">
        <x:f>IF(A20="","","")</x:f>
      </x:c>
    </x:row>
    <x:row r="21">
      <x:c r="A21" s="12" t="str">
        <x:f>IF(OR('納品入力_横型'!T10="",'納品入力_横型'!T11=""),"",'納品入力_横型'!$E$3)</x:f>
      </x:c>
      <x:c r="B21" s="12" t="str">
        <x:f>IF(A21="","",'納品入力_横型'!$B$3)</x:f>
      </x:c>
      <x:c r="C21" s="12" t="str">
        <x:f>IF(A21="","","本店")</x:f>
      </x:c>
      <x:c r="D21" s="36" t="str">
        <x:f>IF(A21="","",'納品入力_横型'!T10)</x:f>
      </x:c>
      <x:c r="E21" s="12" t="str">
        <x:f>IF(A21="","",'納品入力_横型'!A11)</x:f>
      </x:c>
      <x:c r="F21" s="13" t="str">
        <x:f>IF(A21="","",'納品入力_横型'!T11)</x:f>
      </x:c>
      <x:c r="G21" s="13" t="str">
        <x:f>IF(A21="","",'納品入力_横型'!B11)</x:f>
      </x:c>
      <x:c r="H21" s="13" t="str">
        <x:f>IF(A21="","",F21*G21)</x:f>
      </x:c>
      <x:c r="I21" s="12" t="str">
        <x:f>IF(A21="","",INDEX('顧客別単価マスタ'!$E$4:$E$100,MATCH(1,('顧客別単価マスタ'!$A$4:$A$100='納品入力_横型'!$B$4)*('顧客別単価マスタ'!$C$4:$C$100=E21)*IF('顧客別単価マスタ'!$B$4:$B$100="",1,'顧客別単価マスタ'!$B$4:$B$100="S001"),0)))</x:f>
      </x:c>
      <x:c r="J21" s="12" t="str">
        <x:f>IF(A21="","","")</x:f>
      </x:c>
    </x:row>
    <x:row r="22">
      <x:c r="A22" s="12" t="str">
        <x:f>IF(OR('納品入力_横型'!U10="",'納品入力_横型'!U11=""),"",'納品入力_横型'!$E$3)</x:f>
      </x:c>
      <x:c r="B22" s="12" t="str">
        <x:f>IF(A22="","",'納品入力_横型'!$B$3)</x:f>
      </x:c>
      <x:c r="C22" s="12" t="str">
        <x:f>IF(A22="","","本店")</x:f>
      </x:c>
      <x:c r="D22" s="36" t="str">
        <x:f>IF(A22="","",'納品入力_横型'!U10)</x:f>
      </x:c>
      <x:c r="E22" s="12" t="str">
        <x:f>IF(A22="","",'納品入力_横型'!A11)</x:f>
      </x:c>
      <x:c r="F22" s="13" t="str">
        <x:f>IF(A22="","",'納品入力_横型'!U11)</x:f>
      </x:c>
      <x:c r="G22" s="13" t="str">
        <x:f>IF(A22="","",'納品入力_横型'!B11)</x:f>
      </x:c>
      <x:c r="H22" s="13" t="str">
        <x:f>IF(A22="","",F22*G22)</x:f>
      </x:c>
      <x:c r="I22" s="12" t="str">
        <x:f>IF(A22="","",INDEX('顧客別単価マスタ'!$E$4:$E$100,MATCH(1,('顧客別単価マスタ'!$A$4:$A$100='納品入力_横型'!$B$4)*('顧客別単価マスタ'!$C$4:$C$100=E22)*IF('顧客別単価マスタ'!$B$4:$B$100="",1,'顧客別単価マスタ'!$B$4:$B$100="S001"),0)))</x:f>
      </x:c>
      <x:c r="J22" s="12" t="str">
        <x:f>IF(A22="","","")</x:f>
      </x:c>
    </x:row>
    <x:row r="23">
      <x:c r="A23" s="12" t="str">
        <x:f>IF(OR('納品入力_横型'!V10="",'納品入力_横型'!V11=""),"",'納品入力_横型'!$E$3)</x:f>
      </x:c>
      <x:c r="B23" s="12" t="str">
        <x:f>IF(A23="","",'納品入力_横型'!$B$3)</x:f>
      </x:c>
      <x:c r="C23" s="12" t="str">
        <x:f>IF(A23="","","本店")</x:f>
      </x:c>
      <x:c r="D23" s="36" t="str">
        <x:f>IF(A23="","",'納品入力_横型'!V10)</x:f>
      </x:c>
      <x:c r="E23" s="12" t="str">
        <x:f>IF(A23="","",'納品入力_横型'!A11)</x:f>
      </x:c>
      <x:c r="F23" s="13" t="str">
        <x:f>IF(A23="","",'納品入力_横型'!V11)</x:f>
      </x:c>
      <x:c r="G23" s="13" t="str">
        <x:f>IF(A23="","",'納品入力_横型'!B11)</x:f>
      </x:c>
      <x:c r="H23" s="13" t="str">
        <x:f>IF(A23="","",F23*G23)</x:f>
      </x:c>
      <x:c r="I23" s="12" t="str">
        <x:f>IF(A23="","",INDEX('顧客別単価マスタ'!$E$4:$E$100,MATCH(1,('顧客別単価マスタ'!$A$4:$A$100='納品入力_横型'!$B$4)*('顧客別単価マスタ'!$C$4:$C$100=E23)*IF('顧客別単価マスタ'!$B$4:$B$100="",1,'顧客別単価マスタ'!$B$4:$B$100="S001"),0)))</x:f>
      </x:c>
      <x:c r="J23" s="12" t="str">
        <x:f>IF(A23="","","")</x:f>
      </x:c>
    </x:row>
    <x:row r="24">
      <x:c r="A24" s="12" t="str">
        <x:f>IF(OR('納品入力_横型'!C10="",'納品入力_横型'!C12=""),"",'納品入力_横型'!$E$3)</x:f>
        <x:v>2026年4月</x:v>
      </x:c>
      <x:c r="B24" s="12" t="str">
        <x:f>IF(A24="","",'納品入力_横型'!$B$3)</x:f>
        <x:v>〇〇株式会社</x:v>
      </x:c>
      <x:c r="C24" s="12" t="str">
        <x:f>IF(A24="","","本店")</x:f>
        <x:v>本店</x:v>
      </x:c>
      <x:c r="D24" s="36" t="n">
        <x:f>IF(A24="","",'納品入力_横型'!C10)</x:f>
        <x:v>46113</x:v>
      </x:c>
      <x:c r="E24" s="12" t="str">
        <x:f>IF(A24="","",'納品入力_横型'!A12)</x:f>
        <x:v>フェイスタオル</x:v>
      </x:c>
      <x:c r="F24" s="13" t="n">
        <x:f>IF(A24="","",'納品入力_横型'!C12)</x:f>
        <x:v>150</x:v>
      </x:c>
      <x:c r="G24" s="13" t="n">
        <x:f>IF(A24="","",'納品入力_横型'!B12)</x:f>
        <x:v>10</x:v>
      </x:c>
      <x:c r="H24" s="13" t="n">
        <x:f>IF(A24="","",F24*G24)</x:f>
        <x:v>1500</x:v>
      </x:c>
      <x:c r="I24" s="12" t="str">
        <x:f>IF(A24="","",INDEX('顧客別単価マスタ'!$E$4:$E$100,MATCH(1,('顧客別単価マスタ'!$A$4:$A$100='納品入力_横型'!$B$4)*('顧客別単価マスタ'!$C$4:$C$100=E24)*IF('顧客別単価マスタ'!$B$4:$B$100="",1,'顧客別単価マスタ'!$B$4:$B$100="S001"),0)))</x:f>
        <x:v>商品</x:v>
      </x:c>
      <x:c r="J24" s="12" t="str">
        <x:f>IF(A24="","","")</x:f>
      </x:c>
    </x:row>
    <x:row r="25">
      <x:c r="A25" s="12" t="str">
        <x:f>IF(OR('納品入力_横型'!D10="",'納品入力_横型'!D12=""),"",'納品入力_横型'!$E$3)</x:f>
        <x:v>2026年4月</x:v>
      </x:c>
      <x:c r="B25" s="12" t="str">
        <x:f>IF(A25="","",'納品入力_横型'!$B$3)</x:f>
        <x:v>〇〇株式会社</x:v>
      </x:c>
      <x:c r="C25" s="12" t="str">
        <x:f>IF(A25="","","本店")</x:f>
        <x:v>本店</x:v>
      </x:c>
      <x:c r="D25" s="36" t="n">
        <x:f>IF(A25="","",'納品入力_横型'!D10)</x:f>
        <x:v>46116</x:v>
      </x:c>
      <x:c r="E25" s="12" t="str">
        <x:f>IF(A25="","",'納品入力_横型'!A12)</x:f>
        <x:v>フェイスタオル</x:v>
      </x:c>
      <x:c r="F25" s="13" t="n">
        <x:f>IF(A25="","",'納品入力_横型'!D12)</x:f>
        <x:v>200</x:v>
      </x:c>
      <x:c r="G25" s="13" t="n">
        <x:f>IF(A25="","",'納品入力_横型'!B12)</x:f>
        <x:v>10</x:v>
      </x:c>
      <x:c r="H25" s="13" t="n">
        <x:f>IF(A25="","",F25*G25)</x:f>
        <x:v>2000</x:v>
      </x:c>
      <x:c r="I25" s="12" t="str">
        <x:f>IF(A25="","",INDEX('顧客別単価マスタ'!$E$4:$E$100,MATCH(1,('顧客別単価マスタ'!$A$4:$A$100='納品入力_横型'!$B$4)*('顧客別単価マスタ'!$C$4:$C$100=E25)*IF('顧客別単価マスタ'!$B$4:$B$100="",1,'顧客別単価マスタ'!$B$4:$B$100="S001"),0)))</x:f>
        <x:v>商品</x:v>
      </x:c>
      <x:c r="J25" s="12" t="str">
        <x:f>IF(A25="","","")</x:f>
      </x:c>
    </x:row>
    <x:row r="26">
      <x:c r="A26" s="12" t="str">
        <x:f>IF(OR('納品入力_横型'!E10="",'納品入力_横型'!E12=""),"",'納品入力_横型'!$E$3)</x:f>
        <x:v>2026年4月</x:v>
      </x:c>
      <x:c r="B26" s="12" t="str">
        <x:f>IF(A26="","",'納品入力_横型'!$B$3)</x:f>
        <x:v>〇〇株式会社</x:v>
      </x:c>
      <x:c r="C26" s="12" t="str">
        <x:f>IF(A26="","","本店")</x:f>
        <x:v>本店</x:v>
      </x:c>
      <x:c r="D26" s="36" t="n">
        <x:f>IF(A26="","",'納品入力_横型'!E10)</x:f>
        <x:v>46121</x:v>
      </x:c>
      <x:c r="E26" s="12" t="str">
        <x:f>IF(A26="","",'納品入力_横型'!A12)</x:f>
        <x:v>フェイスタオル</x:v>
      </x:c>
      <x:c r="F26" s="13" t="n">
        <x:f>IF(A26="","",'納品入力_横型'!E12)</x:f>
        <x:v>100</x:v>
      </x:c>
      <x:c r="G26" s="13" t="n">
        <x:f>IF(A26="","",'納品入力_横型'!B12)</x:f>
        <x:v>10</x:v>
      </x:c>
      <x:c r="H26" s="13" t="n">
        <x:f>IF(A26="","",F26*G26)</x:f>
        <x:v>1000</x:v>
      </x:c>
      <x:c r="I26" s="12" t="str">
        <x:f>IF(A26="","",INDEX('顧客別単価マスタ'!$E$4:$E$100,MATCH(1,('顧客別単価マスタ'!$A$4:$A$100='納品入力_横型'!$B$4)*('顧客別単価マスタ'!$C$4:$C$100=E26)*IF('顧客別単価マスタ'!$B$4:$B$100="",1,'顧客別単価マスタ'!$B$4:$B$100="S001"),0)))</x:f>
        <x:v>商品</x:v>
      </x:c>
      <x:c r="J26" s="12" t="str">
        <x:f>IF(A26="","","")</x:f>
      </x:c>
    </x:row>
    <x:row r="27">
      <x:c r="A27" s="12" t="str">
        <x:f>IF(OR('納品入力_横型'!F10="",'納品入力_横型'!F12=""),"",'納品入力_横型'!$E$3)</x:f>
      </x:c>
      <x:c r="B27" s="12" t="str">
        <x:f>IF(A27="","",'納品入力_横型'!$B$3)</x:f>
      </x:c>
      <x:c r="C27" s="12" t="str">
        <x:f>IF(A27="","","本店")</x:f>
      </x:c>
      <x:c r="D27" s="36" t="str">
        <x:f>IF(A27="","",'納品入力_横型'!F10)</x:f>
      </x:c>
      <x:c r="E27" s="12" t="str">
        <x:f>IF(A27="","",'納品入力_横型'!A12)</x:f>
      </x:c>
      <x:c r="F27" s="13" t="str">
        <x:f>IF(A27="","",'納品入力_横型'!F12)</x:f>
      </x:c>
      <x:c r="G27" s="13" t="str">
        <x:f>IF(A27="","",'納品入力_横型'!B12)</x:f>
      </x:c>
      <x:c r="H27" s="13" t="str">
        <x:f>IF(A27="","",F27*G27)</x:f>
      </x:c>
      <x:c r="I27" s="12" t="str">
        <x:f>IF(A27="","",INDEX('顧客別単価マスタ'!$E$4:$E$100,MATCH(1,('顧客別単価マスタ'!$A$4:$A$100='納品入力_横型'!$B$4)*('顧客別単価マスタ'!$C$4:$C$100=E27)*IF('顧客別単価マスタ'!$B$4:$B$100="",1,'顧客別単価マスタ'!$B$4:$B$100="S001"),0)))</x:f>
      </x:c>
      <x:c r="J27" s="12" t="str">
        <x:f>IF(A27="","","")</x:f>
      </x:c>
    </x:row>
    <x:row r="28">
      <x:c r="A28" s="12" t="str">
        <x:f>IF(OR('納品入力_横型'!G10="",'納品入力_横型'!G12=""),"",'納品入力_横型'!$E$3)</x:f>
        <x:v>2026年4月</x:v>
      </x:c>
      <x:c r="B28" s="12" t="str">
        <x:f>IF(A28="","",'納品入力_横型'!$B$3)</x:f>
        <x:v>〇〇株式会社</x:v>
      </x:c>
      <x:c r="C28" s="12" t="str">
        <x:f>IF(A28="","","本店")</x:f>
        <x:v>本店</x:v>
      </x:c>
      <x:c r="D28" s="36" t="n">
        <x:f>IF(A28="","",'納品入力_横型'!G10)</x:f>
        <x:v>46132</x:v>
      </x:c>
      <x:c r="E28" s="12" t="str">
        <x:f>IF(A28="","",'納品入力_横型'!A12)</x:f>
        <x:v>フェイスタオル</x:v>
      </x:c>
      <x:c r="F28" s="13" t="n">
        <x:f>IF(A28="","",'納品入力_横型'!G12)</x:f>
        <x:v>100</x:v>
      </x:c>
      <x:c r="G28" s="13" t="n">
        <x:f>IF(A28="","",'納品入力_横型'!B12)</x:f>
        <x:v>10</x:v>
      </x:c>
      <x:c r="H28" s="13" t="n">
        <x:f>IF(A28="","",F28*G28)</x:f>
        <x:v>1000</x:v>
      </x:c>
      <x:c r="I28" s="12" t="str">
        <x:f>IF(A28="","",INDEX('顧客別単価マスタ'!$E$4:$E$100,MATCH(1,('顧客別単価マスタ'!$A$4:$A$100='納品入力_横型'!$B$4)*('顧客別単価マスタ'!$C$4:$C$100=E28)*IF('顧客別単価マスタ'!$B$4:$B$100="",1,'顧客別単価マスタ'!$B$4:$B$100="S001"),0)))</x:f>
        <x:v>商品</x:v>
      </x:c>
      <x:c r="J28" s="12" t="str">
        <x:f>IF(A28="","","")</x:f>
      </x:c>
    </x:row>
    <x:row r="29">
      <x:c r="A29" s="12" t="str">
        <x:f>IF(OR('納品入力_横型'!H10="",'納品入力_横型'!H12=""),"",'納品入力_横型'!$E$3)</x:f>
      </x:c>
      <x:c r="B29" s="12" t="str">
        <x:f>IF(A29="","",'納品入力_横型'!$B$3)</x:f>
      </x:c>
      <x:c r="C29" s="12" t="str">
        <x:f>IF(A29="","","本店")</x:f>
      </x:c>
      <x:c r="D29" s="36" t="str">
        <x:f>IF(A29="","",'納品入力_横型'!H10)</x:f>
      </x:c>
      <x:c r="E29" s="12" t="str">
        <x:f>IF(A29="","",'納品入力_横型'!A12)</x:f>
      </x:c>
      <x:c r="F29" s="13" t="str">
        <x:f>IF(A29="","",'納品入力_横型'!H12)</x:f>
      </x:c>
      <x:c r="G29" s="13" t="str">
        <x:f>IF(A29="","",'納品入力_横型'!B12)</x:f>
      </x:c>
      <x:c r="H29" s="13" t="str">
        <x:f>IF(A29="","",F29*G29)</x:f>
      </x:c>
      <x:c r="I29" s="12" t="str">
        <x:f>IF(A29="","",INDEX('顧客別単価マスタ'!$E$4:$E$100,MATCH(1,('顧客別単価マスタ'!$A$4:$A$100='納品入力_横型'!$B$4)*('顧客別単価マスタ'!$C$4:$C$100=E29)*IF('顧客別単価マスタ'!$B$4:$B$100="",1,'顧客別単価マスタ'!$B$4:$B$100="S001"),0)))</x:f>
      </x:c>
      <x:c r="J29" s="12" t="str">
        <x:f>IF(A29="","","")</x:f>
      </x:c>
    </x:row>
    <x:row r="30">
      <x:c r="A30" s="12" t="str">
        <x:f>IF(OR('納品入力_横型'!I10="",'納品入力_横型'!I12=""),"",'納品入力_横型'!$E$3)</x:f>
      </x:c>
      <x:c r="B30" s="12" t="str">
        <x:f>IF(A30="","",'納品入力_横型'!$B$3)</x:f>
      </x:c>
      <x:c r="C30" s="12" t="str">
        <x:f>IF(A30="","","本店")</x:f>
      </x:c>
      <x:c r="D30" s="36" t="str">
        <x:f>IF(A30="","",'納品入力_横型'!I10)</x:f>
      </x:c>
      <x:c r="E30" s="12" t="str">
        <x:f>IF(A30="","",'納品入力_横型'!A12)</x:f>
      </x:c>
      <x:c r="F30" s="13" t="str">
        <x:f>IF(A30="","",'納品入力_横型'!I12)</x:f>
      </x:c>
      <x:c r="G30" s="13" t="str">
        <x:f>IF(A30="","",'納品入力_横型'!B12)</x:f>
      </x:c>
      <x:c r="H30" s="13" t="str">
        <x:f>IF(A30="","",F30*G30)</x:f>
      </x:c>
      <x:c r="I30" s="12" t="str">
        <x:f>IF(A30="","",INDEX('顧客別単価マスタ'!$E$4:$E$100,MATCH(1,('顧客別単価マスタ'!$A$4:$A$100='納品入力_横型'!$B$4)*('顧客別単価マスタ'!$C$4:$C$100=E30)*IF('顧客別単価マスタ'!$B$4:$B$100="",1,'顧客別単価マスタ'!$B$4:$B$100="S001"),0)))</x:f>
      </x:c>
      <x:c r="J30" s="12" t="str">
        <x:f>IF(A30="","","")</x:f>
      </x:c>
    </x:row>
    <x:row r="31">
      <x:c r="A31" s="12" t="str">
        <x:f>IF(OR('納品入力_横型'!J10="",'納品入力_横型'!J12=""),"",'納品入力_横型'!$E$3)</x:f>
      </x:c>
      <x:c r="B31" s="12" t="str">
        <x:f>IF(A31="","",'納品入力_横型'!$B$3)</x:f>
      </x:c>
      <x:c r="C31" s="12" t="str">
        <x:f>IF(A31="","","本店")</x:f>
      </x:c>
      <x:c r="D31" s="36" t="str">
        <x:f>IF(A31="","",'納品入力_横型'!J10)</x:f>
      </x:c>
      <x:c r="E31" s="12" t="str">
        <x:f>IF(A31="","",'納品入力_横型'!A12)</x:f>
      </x:c>
      <x:c r="F31" s="13" t="str">
        <x:f>IF(A31="","",'納品入力_横型'!J12)</x:f>
      </x:c>
      <x:c r="G31" s="13" t="str">
        <x:f>IF(A31="","",'納品入力_横型'!B12)</x:f>
      </x:c>
      <x:c r="H31" s="13" t="str">
        <x:f>IF(A31="","",F31*G31)</x:f>
      </x:c>
      <x:c r="I31" s="12" t="str">
        <x:f>IF(A31="","",INDEX('顧客別単価マスタ'!$E$4:$E$100,MATCH(1,('顧客別単価マスタ'!$A$4:$A$100='納品入力_横型'!$B$4)*('顧客別単価マスタ'!$C$4:$C$100=E31)*IF('顧客別単価マスタ'!$B$4:$B$100="",1,'顧客別単価マスタ'!$B$4:$B$100="S001"),0)))</x:f>
      </x:c>
      <x:c r="J31" s="12" t="str">
        <x:f>IF(A31="","","")</x:f>
      </x:c>
    </x:row>
    <x:row r="32">
      <x:c r="A32" s="12" t="str">
        <x:f>IF(OR('納品入力_横型'!K10="",'納品入力_横型'!K12=""),"",'納品入力_横型'!$E$3)</x:f>
      </x:c>
      <x:c r="B32" s="12" t="str">
        <x:f>IF(A32="","",'納品入力_横型'!$B$3)</x:f>
      </x:c>
      <x:c r="C32" s="12" t="str">
        <x:f>IF(A32="","","本店")</x:f>
      </x:c>
      <x:c r="D32" s="36" t="str">
        <x:f>IF(A32="","",'納品入力_横型'!K10)</x:f>
      </x:c>
      <x:c r="E32" s="12" t="str">
        <x:f>IF(A32="","",'納品入力_横型'!A12)</x:f>
      </x:c>
      <x:c r="F32" s="13" t="str">
        <x:f>IF(A32="","",'納品入力_横型'!K12)</x:f>
      </x:c>
      <x:c r="G32" s="13" t="str">
        <x:f>IF(A32="","",'納品入力_横型'!B12)</x:f>
      </x:c>
      <x:c r="H32" s="13" t="str">
        <x:f>IF(A32="","",F32*G32)</x:f>
      </x:c>
      <x:c r="I32" s="12" t="str">
        <x:f>IF(A32="","",INDEX('顧客別単価マスタ'!$E$4:$E$100,MATCH(1,('顧客別単価マスタ'!$A$4:$A$100='納品入力_横型'!$B$4)*('顧客別単価マスタ'!$C$4:$C$100=E32)*IF('顧客別単価マスタ'!$B$4:$B$100="",1,'顧客別単価マスタ'!$B$4:$B$100="S001"),0)))</x:f>
      </x:c>
      <x:c r="J32" s="12" t="str">
        <x:f>IF(A32="","","")</x:f>
      </x:c>
    </x:row>
    <x:row r="33">
      <x:c r="A33" s="12" t="str">
        <x:f>IF(OR('納品入力_横型'!L10="",'納品入力_横型'!L12=""),"",'納品入力_横型'!$E$3)</x:f>
      </x:c>
      <x:c r="B33" s="12" t="str">
        <x:f>IF(A33="","",'納品入力_横型'!$B$3)</x:f>
      </x:c>
      <x:c r="C33" s="12" t="str">
        <x:f>IF(A33="","","本店")</x:f>
      </x:c>
      <x:c r="D33" s="36" t="str">
        <x:f>IF(A33="","",'納品入力_横型'!L10)</x:f>
      </x:c>
      <x:c r="E33" s="12" t="str">
        <x:f>IF(A33="","",'納品入力_横型'!A12)</x:f>
      </x:c>
      <x:c r="F33" s="13" t="str">
        <x:f>IF(A33="","",'納品入力_横型'!L12)</x:f>
      </x:c>
      <x:c r="G33" s="13" t="str">
        <x:f>IF(A33="","",'納品入力_横型'!B12)</x:f>
      </x:c>
      <x:c r="H33" s="13" t="str">
        <x:f>IF(A33="","",F33*G33)</x:f>
      </x:c>
      <x:c r="I33" s="12" t="str">
        <x:f>IF(A33="","",INDEX('顧客別単価マスタ'!$E$4:$E$100,MATCH(1,('顧客別単価マスタ'!$A$4:$A$100='納品入力_横型'!$B$4)*('顧客別単価マスタ'!$C$4:$C$100=E33)*IF('顧客別単価マスタ'!$B$4:$B$100="",1,'顧客別単価マスタ'!$B$4:$B$100="S001"),0)))</x:f>
      </x:c>
      <x:c r="J33" s="12" t="str">
        <x:f>IF(A33="","","")</x:f>
      </x:c>
    </x:row>
    <x:row r="34">
      <x:c r="A34" s="12" t="str">
        <x:f>IF(OR('納品入力_横型'!M10="",'納品入力_横型'!M12=""),"",'納品入力_横型'!$E$3)</x:f>
      </x:c>
      <x:c r="B34" s="12" t="str">
        <x:f>IF(A34="","",'納品入力_横型'!$B$3)</x:f>
      </x:c>
      <x:c r="C34" s="12" t="str">
        <x:f>IF(A34="","","本店")</x:f>
      </x:c>
      <x:c r="D34" s="36" t="str">
        <x:f>IF(A34="","",'納品入力_横型'!M10)</x:f>
      </x:c>
      <x:c r="E34" s="12" t="str">
        <x:f>IF(A34="","",'納品入力_横型'!A12)</x:f>
      </x:c>
      <x:c r="F34" s="13" t="str">
        <x:f>IF(A34="","",'納品入力_横型'!M12)</x:f>
      </x:c>
      <x:c r="G34" s="13" t="str">
        <x:f>IF(A34="","",'納品入力_横型'!B12)</x:f>
      </x:c>
      <x:c r="H34" s="13" t="str">
        <x:f>IF(A34="","",F34*G34)</x:f>
      </x:c>
      <x:c r="I34" s="12" t="str">
        <x:f>IF(A34="","",INDEX('顧客別単価マスタ'!$E$4:$E$100,MATCH(1,('顧客別単価マスタ'!$A$4:$A$100='納品入力_横型'!$B$4)*('顧客別単価マスタ'!$C$4:$C$100=E34)*IF('顧客別単価マスタ'!$B$4:$B$100="",1,'顧客別単価マスタ'!$B$4:$B$100="S001"),0)))</x:f>
      </x:c>
      <x:c r="J34" s="12" t="str">
        <x:f>IF(A34="","","")</x:f>
      </x:c>
    </x:row>
    <x:row r="35">
      <x:c r="A35" s="12" t="str">
        <x:f>IF(OR('納品入力_横型'!N10="",'納品入力_横型'!N12=""),"",'納品入力_横型'!$E$3)</x:f>
      </x:c>
      <x:c r="B35" s="12" t="str">
        <x:f>IF(A35="","",'納品入力_横型'!$B$3)</x:f>
      </x:c>
      <x:c r="C35" s="12" t="str">
        <x:f>IF(A35="","","本店")</x:f>
      </x:c>
      <x:c r="D35" s="36" t="str">
        <x:f>IF(A35="","",'納品入力_横型'!N10)</x:f>
      </x:c>
      <x:c r="E35" s="12" t="str">
        <x:f>IF(A35="","",'納品入力_横型'!A12)</x:f>
      </x:c>
      <x:c r="F35" s="13" t="str">
        <x:f>IF(A35="","",'納品入力_横型'!N12)</x:f>
      </x:c>
      <x:c r="G35" s="13" t="str">
        <x:f>IF(A35="","",'納品入力_横型'!B12)</x:f>
      </x:c>
      <x:c r="H35" s="13" t="str">
        <x:f>IF(A35="","",F35*G35)</x:f>
      </x:c>
      <x:c r="I35" s="12" t="str">
        <x:f>IF(A35="","",INDEX('顧客別単価マスタ'!$E$4:$E$100,MATCH(1,('顧客別単価マスタ'!$A$4:$A$100='納品入力_横型'!$B$4)*('顧客別単価マスタ'!$C$4:$C$100=E35)*IF('顧客別単価マスタ'!$B$4:$B$100="",1,'顧客別単価マスタ'!$B$4:$B$100="S001"),0)))</x:f>
      </x:c>
      <x:c r="J35" s="12" t="str">
        <x:f>IF(A35="","","")</x:f>
      </x:c>
    </x:row>
    <x:row r="36">
      <x:c r="A36" s="12" t="str">
        <x:f>IF(OR('納品入力_横型'!O10="",'納品入力_横型'!O12=""),"",'納品入力_横型'!$E$3)</x:f>
      </x:c>
      <x:c r="B36" s="12" t="str">
        <x:f>IF(A36="","",'納品入力_横型'!$B$3)</x:f>
      </x:c>
      <x:c r="C36" s="12" t="str">
        <x:f>IF(A36="","","本店")</x:f>
      </x:c>
      <x:c r="D36" s="36" t="str">
        <x:f>IF(A36="","",'納品入力_横型'!O10)</x:f>
      </x:c>
      <x:c r="E36" s="12" t="str">
        <x:f>IF(A36="","",'納品入力_横型'!A12)</x:f>
      </x:c>
      <x:c r="F36" s="13" t="str">
        <x:f>IF(A36="","",'納品入力_横型'!O12)</x:f>
      </x:c>
      <x:c r="G36" s="13" t="str">
        <x:f>IF(A36="","",'納品入力_横型'!B12)</x:f>
      </x:c>
      <x:c r="H36" s="13" t="str">
        <x:f>IF(A36="","",F36*G36)</x:f>
      </x:c>
      <x:c r="I36" s="12" t="str">
        <x:f>IF(A36="","",INDEX('顧客別単価マスタ'!$E$4:$E$100,MATCH(1,('顧客別単価マスタ'!$A$4:$A$100='納品入力_横型'!$B$4)*('顧客別単価マスタ'!$C$4:$C$100=E36)*IF('顧客別単価マスタ'!$B$4:$B$100="",1,'顧客別単価マスタ'!$B$4:$B$100="S001"),0)))</x:f>
      </x:c>
      <x:c r="J36" s="12" t="str">
        <x:f>IF(A36="","","")</x:f>
      </x:c>
    </x:row>
    <x:row r="37">
      <x:c r="A37" s="12" t="str">
        <x:f>IF(OR('納品入力_横型'!P10="",'納品入力_横型'!P12=""),"",'納品入力_横型'!$E$3)</x:f>
      </x:c>
      <x:c r="B37" s="12" t="str">
        <x:f>IF(A37="","",'納品入力_横型'!$B$3)</x:f>
      </x:c>
      <x:c r="C37" s="12" t="str">
        <x:f>IF(A37="","","本店")</x:f>
      </x:c>
      <x:c r="D37" s="36" t="str">
        <x:f>IF(A37="","",'納品入力_横型'!P10)</x:f>
      </x:c>
      <x:c r="E37" s="12" t="str">
        <x:f>IF(A37="","",'納品入力_横型'!A12)</x:f>
      </x:c>
      <x:c r="F37" s="13" t="str">
        <x:f>IF(A37="","",'納品入力_横型'!P12)</x:f>
      </x:c>
      <x:c r="G37" s="13" t="str">
        <x:f>IF(A37="","",'納品入力_横型'!B12)</x:f>
      </x:c>
      <x:c r="H37" s="13" t="str">
        <x:f>IF(A37="","",F37*G37)</x:f>
      </x:c>
      <x:c r="I37" s="12" t="str">
        <x:f>IF(A37="","",INDEX('顧客別単価マスタ'!$E$4:$E$100,MATCH(1,('顧客別単価マスタ'!$A$4:$A$100='納品入力_横型'!$B$4)*('顧客別単価マスタ'!$C$4:$C$100=E37)*IF('顧客別単価マスタ'!$B$4:$B$100="",1,'顧客別単価マスタ'!$B$4:$B$100="S001"),0)))</x:f>
      </x:c>
      <x:c r="J37" s="12" t="str">
        <x:f>IF(A37="","","")</x:f>
      </x:c>
    </x:row>
    <x:row r="38">
      <x:c r="A38" s="12" t="str">
        <x:f>IF(OR('納品入力_横型'!Q10="",'納品入力_横型'!Q12=""),"",'納品入力_横型'!$E$3)</x:f>
      </x:c>
      <x:c r="B38" s="12" t="str">
        <x:f>IF(A38="","",'納品入力_横型'!$B$3)</x:f>
      </x:c>
      <x:c r="C38" s="12" t="str">
        <x:f>IF(A38="","","本店")</x:f>
      </x:c>
      <x:c r="D38" s="36" t="str">
        <x:f>IF(A38="","",'納品入力_横型'!Q10)</x:f>
      </x:c>
      <x:c r="E38" s="12" t="str">
        <x:f>IF(A38="","",'納品入力_横型'!A12)</x:f>
      </x:c>
      <x:c r="F38" s="13" t="str">
        <x:f>IF(A38="","",'納品入力_横型'!Q12)</x:f>
      </x:c>
      <x:c r="G38" s="13" t="str">
        <x:f>IF(A38="","",'納品入力_横型'!B12)</x:f>
      </x:c>
      <x:c r="H38" s="13" t="str">
        <x:f>IF(A38="","",F38*G38)</x:f>
      </x:c>
      <x:c r="I38" s="12" t="str">
        <x:f>IF(A38="","",INDEX('顧客別単価マスタ'!$E$4:$E$100,MATCH(1,('顧客別単価マスタ'!$A$4:$A$100='納品入力_横型'!$B$4)*('顧客別単価マスタ'!$C$4:$C$100=E38)*IF('顧客別単価マスタ'!$B$4:$B$100="",1,'顧客別単価マスタ'!$B$4:$B$100="S001"),0)))</x:f>
      </x:c>
      <x:c r="J38" s="12" t="str">
        <x:f>IF(A38="","","")</x:f>
      </x:c>
    </x:row>
    <x:row r="39">
      <x:c r="A39" s="12" t="str">
        <x:f>IF(OR('納品入力_横型'!R10="",'納品入力_横型'!R12=""),"",'納品入力_横型'!$E$3)</x:f>
      </x:c>
      <x:c r="B39" s="12" t="str">
        <x:f>IF(A39="","",'納品入力_横型'!$B$3)</x:f>
      </x:c>
      <x:c r="C39" s="12" t="str">
        <x:f>IF(A39="","","本店")</x:f>
      </x:c>
      <x:c r="D39" s="36" t="str">
        <x:f>IF(A39="","",'納品入力_横型'!R10)</x:f>
      </x:c>
      <x:c r="E39" s="12" t="str">
        <x:f>IF(A39="","",'納品入力_横型'!A12)</x:f>
      </x:c>
      <x:c r="F39" s="13" t="str">
        <x:f>IF(A39="","",'納品入力_横型'!R12)</x:f>
      </x:c>
      <x:c r="G39" s="13" t="str">
        <x:f>IF(A39="","",'納品入力_横型'!B12)</x:f>
      </x:c>
      <x:c r="H39" s="13" t="str">
        <x:f>IF(A39="","",F39*G39)</x:f>
      </x:c>
      <x:c r="I39" s="12" t="str">
        <x:f>IF(A39="","",INDEX('顧客別単価マスタ'!$E$4:$E$100,MATCH(1,('顧客別単価マスタ'!$A$4:$A$100='納品入力_横型'!$B$4)*('顧客別単価マスタ'!$C$4:$C$100=E39)*IF('顧客別単価マスタ'!$B$4:$B$100="",1,'顧客別単価マスタ'!$B$4:$B$100="S001"),0)))</x:f>
      </x:c>
      <x:c r="J39" s="12" t="str">
        <x:f>IF(A39="","","")</x:f>
      </x:c>
    </x:row>
    <x:row r="40">
      <x:c r="A40" s="12" t="str">
        <x:f>IF(OR('納品入力_横型'!S10="",'納品入力_横型'!S12=""),"",'納品入力_横型'!$E$3)</x:f>
      </x:c>
      <x:c r="B40" s="12" t="str">
        <x:f>IF(A40="","",'納品入力_横型'!$B$3)</x:f>
      </x:c>
      <x:c r="C40" s="12" t="str">
        <x:f>IF(A40="","","本店")</x:f>
      </x:c>
      <x:c r="D40" s="36" t="str">
        <x:f>IF(A40="","",'納品入力_横型'!S10)</x:f>
      </x:c>
      <x:c r="E40" s="12" t="str">
        <x:f>IF(A40="","",'納品入力_横型'!A12)</x:f>
      </x:c>
      <x:c r="F40" s="13" t="str">
        <x:f>IF(A40="","",'納品入力_横型'!S12)</x:f>
      </x:c>
      <x:c r="G40" s="13" t="str">
        <x:f>IF(A40="","",'納品入力_横型'!B12)</x:f>
      </x:c>
      <x:c r="H40" s="13" t="str">
        <x:f>IF(A40="","",F40*G40)</x:f>
      </x:c>
      <x:c r="I40" s="12" t="str">
        <x:f>IF(A40="","",INDEX('顧客別単価マスタ'!$E$4:$E$100,MATCH(1,('顧客別単価マスタ'!$A$4:$A$100='納品入力_横型'!$B$4)*('顧客別単価マスタ'!$C$4:$C$100=E40)*IF('顧客別単価マスタ'!$B$4:$B$100="",1,'顧客別単価マスタ'!$B$4:$B$100="S001"),0)))</x:f>
      </x:c>
      <x:c r="J40" s="12" t="str">
        <x:f>IF(A40="","","")</x:f>
      </x:c>
    </x:row>
    <x:row r="41">
      <x:c r="A41" s="12" t="str">
        <x:f>IF(OR('納品入力_横型'!T10="",'納品入力_横型'!T12=""),"",'納品入力_横型'!$E$3)</x:f>
      </x:c>
      <x:c r="B41" s="12" t="str">
        <x:f>IF(A41="","",'納品入力_横型'!$B$3)</x:f>
      </x:c>
      <x:c r="C41" s="12" t="str">
        <x:f>IF(A41="","","本店")</x:f>
      </x:c>
      <x:c r="D41" s="36" t="str">
        <x:f>IF(A41="","",'納品入力_横型'!T10)</x:f>
      </x:c>
      <x:c r="E41" s="12" t="str">
        <x:f>IF(A41="","",'納品入力_横型'!A12)</x:f>
      </x:c>
      <x:c r="F41" s="13" t="str">
        <x:f>IF(A41="","",'納品入力_横型'!T12)</x:f>
      </x:c>
      <x:c r="G41" s="13" t="str">
        <x:f>IF(A41="","",'納品入力_横型'!B12)</x:f>
      </x:c>
      <x:c r="H41" s="13" t="str">
        <x:f>IF(A41="","",F41*G41)</x:f>
      </x:c>
      <x:c r="I41" s="12" t="str">
        <x:f>IF(A41="","",INDEX('顧客別単価マスタ'!$E$4:$E$100,MATCH(1,('顧客別単価マスタ'!$A$4:$A$100='納品入力_横型'!$B$4)*('顧客別単価マスタ'!$C$4:$C$100=E41)*IF('顧客別単価マスタ'!$B$4:$B$100="",1,'顧客別単価マスタ'!$B$4:$B$100="S001"),0)))</x:f>
      </x:c>
      <x:c r="J41" s="12" t="str">
        <x:f>IF(A41="","","")</x:f>
      </x:c>
    </x:row>
    <x:row r="42">
      <x:c r="A42" s="12" t="str">
        <x:f>IF(OR('納品入力_横型'!U10="",'納品入力_横型'!U12=""),"",'納品入力_横型'!$E$3)</x:f>
      </x:c>
      <x:c r="B42" s="12" t="str">
        <x:f>IF(A42="","",'納品入力_横型'!$B$3)</x:f>
      </x:c>
      <x:c r="C42" s="12" t="str">
        <x:f>IF(A42="","","本店")</x:f>
      </x:c>
      <x:c r="D42" s="36" t="str">
        <x:f>IF(A42="","",'納品入力_横型'!U10)</x:f>
      </x:c>
      <x:c r="E42" s="12" t="str">
        <x:f>IF(A42="","",'納品入力_横型'!A12)</x:f>
      </x:c>
      <x:c r="F42" s="13" t="str">
        <x:f>IF(A42="","",'納品入力_横型'!U12)</x:f>
      </x:c>
      <x:c r="G42" s="13" t="str">
        <x:f>IF(A42="","",'納品入力_横型'!B12)</x:f>
      </x:c>
      <x:c r="H42" s="13" t="str">
        <x:f>IF(A42="","",F42*G42)</x:f>
      </x:c>
      <x:c r="I42" s="12" t="str">
        <x:f>IF(A42="","",INDEX('顧客別単価マスタ'!$E$4:$E$100,MATCH(1,('顧客別単価マスタ'!$A$4:$A$100='納品入力_横型'!$B$4)*('顧客別単価マスタ'!$C$4:$C$100=E42)*IF('顧客別単価マスタ'!$B$4:$B$100="",1,'顧客別単価マスタ'!$B$4:$B$100="S001"),0)))</x:f>
      </x:c>
      <x:c r="J42" s="12" t="str">
        <x:f>IF(A42="","","")</x:f>
      </x:c>
    </x:row>
    <x:row r="43">
      <x:c r="A43" s="12" t="str">
        <x:f>IF(OR('納品入力_横型'!V10="",'納品入力_横型'!V12=""),"",'納品入力_横型'!$E$3)</x:f>
      </x:c>
      <x:c r="B43" s="12" t="str">
        <x:f>IF(A43="","",'納品入力_横型'!$B$3)</x:f>
      </x:c>
      <x:c r="C43" s="12" t="str">
        <x:f>IF(A43="","","本店")</x:f>
      </x:c>
      <x:c r="D43" s="36" t="str">
        <x:f>IF(A43="","",'納品入力_横型'!V10)</x:f>
      </x:c>
      <x:c r="E43" s="12" t="str">
        <x:f>IF(A43="","",'納品入力_横型'!A12)</x:f>
      </x:c>
      <x:c r="F43" s="13" t="str">
        <x:f>IF(A43="","",'納品入力_横型'!V12)</x:f>
      </x:c>
      <x:c r="G43" s="13" t="str">
        <x:f>IF(A43="","",'納品入力_横型'!B12)</x:f>
      </x:c>
      <x:c r="H43" s="13" t="str">
        <x:f>IF(A43="","",F43*G43)</x:f>
      </x:c>
      <x:c r="I43" s="12" t="str">
        <x:f>IF(A43="","",INDEX('顧客別単価マスタ'!$E$4:$E$100,MATCH(1,('顧客別単価マスタ'!$A$4:$A$100='納品入力_横型'!$B$4)*('顧客別単価マスタ'!$C$4:$C$100=E43)*IF('顧客別単価マスタ'!$B$4:$B$100="",1,'顧客別単価マスタ'!$B$4:$B$100="S001"),0)))</x:f>
      </x:c>
      <x:c r="J43" s="12" t="str">
        <x:f>IF(A43="","","")</x:f>
      </x:c>
    </x:row>
    <x:row r="44">
      <x:c r="A44" s="12" t="str">
        <x:f>IF(OR('納品入力_横型'!C10="",'納品入力_横型'!C13=""),"",'納品入力_横型'!$E$3)</x:f>
        <x:v>2026年4月</x:v>
      </x:c>
      <x:c r="B44" s="12" t="str">
        <x:f>IF(A44="","",'納品入力_横型'!$B$3)</x:f>
        <x:v>〇〇株式会社</x:v>
      </x:c>
      <x:c r="C44" s="12" t="str">
        <x:f>IF(A44="","","本店")</x:f>
        <x:v>本店</x:v>
      </x:c>
      <x:c r="D44" s="36" t="n">
        <x:f>IF(A44="","",'納品入力_横型'!C10)</x:f>
        <x:v>46113</x:v>
      </x:c>
      <x:c r="E44" s="12" t="str">
        <x:f>IF(A44="","",'納品入力_横型'!A13)</x:f>
        <x:v>バスマット</x:v>
      </x:c>
      <x:c r="F44" s="13" t="n">
        <x:f>IF(A44="","",'納品入力_横型'!C13)</x:f>
        <x:v>10</x:v>
      </x:c>
      <x:c r="G44" s="13" t="n">
        <x:f>IF(A44="","",'納品入力_横型'!B13)</x:f>
        <x:v>20</x:v>
      </x:c>
      <x:c r="H44" s="13" t="n">
        <x:f>IF(A44="","",F44*G44)</x:f>
        <x:v>200</x:v>
      </x:c>
      <x:c r="I44" s="12" t="str">
        <x:f>IF(A44="","",INDEX('顧客別単価マスタ'!$E$4:$E$100,MATCH(1,('顧客別単価マスタ'!$A$4:$A$100='納品入力_横型'!$B$4)*('顧客別単価マスタ'!$C$4:$C$100=E44)*IF('顧客別単価マスタ'!$B$4:$B$100="",1,'顧客別単価マスタ'!$B$4:$B$100="S001"),0)))</x:f>
        <x:v>商品</x:v>
      </x:c>
      <x:c r="J44" s="12" t="str">
        <x:f>IF(A44="","","")</x:f>
      </x:c>
    </x:row>
    <x:row r="45">
      <x:c r="A45" s="12" t="str">
        <x:f>IF(OR('納品入力_横型'!D10="",'納品入力_横型'!D13=""),"",'納品入力_横型'!$E$3)</x:f>
      </x:c>
      <x:c r="B45" s="12" t="str">
        <x:f>IF(A45="","",'納品入力_横型'!$B$3)</x:f>
      </x:c>
      <x:c r="C45" s="12" t="str">
        <x:f>IF(A45="","","本店")</x:f>
      </x:c>
      <x:c r="D45" s="36" t="str">
        <x:f>IF(A45="","",'納品入力_横型'!D10)</x:f>
      </x:c>
      <x:c r="E45" s="12" t="str">
        <x:f>IF(A45="","",'納品入力_横型'!A13)</x:f>
      </x:c>
      <x:c r="F45" s="13" t="str">
        <x:f>IF(A45="","",'納品入力_横型'!D13)</x:f>
      </x:c>
      <x:c r="G45" s="13" t="str">
        <x:f>IF(A45="","",'納品入力_横型'!B13)</x:f>
      </x:c>
      <x:c r="H45" s="13" t="str">
        <x:f>IF(A45="","",F45*G45)</x:f>
      </x:c>
      <x:c r="I45" s="12" t="str">
        <x:f>IF(A45="","",INDEX('顧客別単価マスタ'!$E$4:$E$100,MATCH(1,('顧客別単価マスタ'!$A$4:$A$100='納品入力_横型'!$B$4)*('顧客別単価マスタ'!$C$4:$C$100=E45)*IF('顧客別単価マスタ'!$B$4:$B$100="",1,'顧客別単価マスタ'!$B$4:$B$100="S001"),0)))</x:f>
      </x:c>
      <x:c r="J45" s="12" t="str">
        <x:f>IF(A45="","","")</x:f>
      </x:c>
    </x:row>
    <x:row r="46">
      <x:c r="A46" s="12" t="str">
        <x:f>IF(OR('納品入力_横型'!E10="",'納品入力_横型'!E13=""),"",'納品入力_横型'!$E$3)</x:f>
        <x:v>2026年4月</x:v>
      </x:c>
      <x:c r="B46" s="12" t="str">
        <x:f>IF(A46="","",'納品入力_横型'!$B$3)</x:f>
        <x:v>〇〇株式会社</x:v>
      </x:c>
      <x:c r="C46" s="12" t="str">
        <x:f>IF(A46="","","本店")</x:f>
        <x:v>本店</x:v>
      </x:c>
      <x:c r="D46" s="36" t="n">
        <x:f>IF(A46="","",'納品入力_横型'!E10)</x:f>
        <x:v>46121</x:v>
      </x:c>
      <x:c r="E46" s="12" t="str">
        <x:f>IF(A46="","",'納品入力_横型'!A13)</x:f>
        <x:v>バスマット</x:v>
      </x:c>
      <x:c r="F46" s="13" t="n">
        <x:f>IF(A46="","",'納品入力_横型'!E13)</x:f>
        <x:v>10</x:v>
      </x:c>
      <x:c r="G46" s="13" t="n">
        <x:f>IF(A46="","",'納品入力_横型'!B13)</x:f>
        <x:v>20</x:v>
      </x:c>
      <x:c r="H46" s="13" t="n">
        <x:f>IF(A46="","",F46*G46)</x:f>
        <x:v>200</x:v>
      </x:c>
      <x:c r="I46" s="12" t="str">
        <x:f>IF(A46="","",INDEX('顧客別単価マスタ'!$E$4:$E$100,MATCH(1,('顧客別単価マスタ'!$A$4:$A$100='納品入力_横型'!$B$4)*('顧客別単価マスタ'!$C$4:$C$100=E46)*IF('顧客別単価マスタ'!$B$4:$B$100="",1,'顧客別単価マスタ'!$B$4:$B$100="S001"),0)))</x:f>
        <x:v>商品</x:v>
      </x:c>
      <x:c r="J46" s="12" t="str">
        <x:f>IF(A46="","","")</x:f>
      </x:c>
    </x:row>
    <x:row r="47">
      <x:c r="A47" s="12" t="str">
        <x:f>IF(OR('納品入力_横型'!F10="",'納品入力_横型'!F13=""),"",'納品入力_横型'!$E$3)</x:f>
      </x:c>
      <x:c r="B47" s="12" t="str">
        <x:f>IF(A47="","",'納品入力_横型'!$B$3)</x:f>
      </x:c>
      <x:c r="C47" s="12" t="str">
        <x:f>IF(A47="","","本店")</x:f>
      </x:c>
      <x:c r="D47" s="36" t="str">
        <x:f>IF(A47="","",'納品入力_横型'!F10)</x:f>
      </x:c>
      <x:c r="E47" s="12" t="str">
        <x:f>IF(A47="","",'納品入力_横型'!A13)</x:f>
      </x:c>
      <x:c r="F47" s="13" t="str">
        <x:f>IF(A47="","",'納品入力_横型'!F13)</x:f>
      </x:c>
      <x:c r="G47" s="13" t="str">
        <x:f>IF(A47="","",'納品入力_横型'!B13)</x:f>
      </x:c>
      <x:c r="H47" s="13" t="str">
        <x:f>IF(A47="","",F47*G47)</x:f>
      </x:c>
      <x:c r="I47" s="12" t="str">
        <x:f>IF(A47="","",INDEX('顧客別単価マスタ'!$E$4:$E$100,MATCH(1,('顧客別単価マスタ'!$A$4:$A$100='納品入力_横型'!$B$4)*('顧客別単価マスタ'!$C$4:$C$100=E47)*IF('顧客別単価マスタ'!$B$4:$B$100="",1,'顧客別単価マスタ'!$B$4:$B$100="S001"),0)))</x:f>
      </x:c>
      <x:c r="J47" s="12" t="str">
        <x:f>IF(A47="","","")</x:f>
      </x:c>
    </x:row>
    <x:row r="48">
      <x:c r="A48" s="12" t="str">
        <x:f>IF(OR('納品入力_横型'!G10="",'納品入力_横型'!G13=""),"",'納品入力_横型'!$E$3)</x:f>
        <x:v>2026年4月</x:v>
      </x:c>
      <x:c r="B48" s="12" t="str">
        <x:f>IF(A48="","",'納品入力_横型'!$B$3)</x:f>
        <x:v>〇〇株式会社</x:v>
      </x:c>
      <x:c r="C48" s="12" t="str">
        <x:f>IF(A48="","","本店")</x:f>
        <x:v>本店</x:v>
      </x:c>
      <x:c r="D48" s="36" t="n">
        <x:f>IF(A48="","",'納品入力_横型'!G10)</x:f>
        <x:v>46132</x:v>
      </x:c>
      <x:c r="E48" s="12" t="str">
        <x:f>IF(A48="","",'納品入力_横型'!A13)</x:f>
        <x:v>バスマット</x:v>
      </x:c>
      <x:c r="F48" s="13" t="n">
        <x:f>IF(A48="","",'納品入力_横型'!G13)</x:f>
        <x:v>10</x:v>
      </x:c>
      <x:c r="G48" s="13" t="n">
        <x:f>IF(A48="","",'納品入力_横型'!B13)</x:f>
        <x:v>20</x:v>
      </x:c>
      <x:c r="H48" s="13" t="n">
        <x:f>IF(A48="","",F48*G48)</x:f>
        <x:v>200</x:v>
      </x:c>
      <x:c r="I48" s="12" t="str">
        <x:f>IF(A48="","",INDEX('顧客別単価マスタ'!$E$4:$E$100,MATCH(1,('顧客別単価マスタ'!$A$4:$A$100='納品入力_横型'!$B$4)*('顧客別単価マスタ'!$C$4:$C$100=E48)*IF('顧客別単価マスタ'!$B$4:$B$100="",1,'顧客別単価マスタ'!$B$4:$B$100="S001"),0)))</x:f>
        <x:v>商品</x:v>
      </x:c>
      <x:c r="J48" s="12" t="str">
        <x:f>IF(A48="","","")</x:f>
      </x:c>
    </x:row>
    <x:row r="49">
      <x:c r="A49" s="12" t="str">
        <x:f>IF(OR('納品入力_横型'!H10="",'納品入力_横型'!H13=""),"",'納品入力_横型'!$E$3)</x:f>
      </x:c>
      <x:c r="B49" s="12" t="str">
        <x:f>IF(A49="","",'納品入力_横型'!$B$3)</x:f>
      </x:c>
      <x:c r="C49" s="12" t="str">
        <x:f>IF(A49="","","本店")</x:f>
      </x:c>
      <x:c r="D49" s="36" t="str">
        <x:f>IF(A49="","",'納品入力_横型'!H10)</x:f>
      </x:c>
      <x:c r="E49" s="12" t="str">
        <x:f>IF(A49="","",'納品入力_横型'!A13)</x:f>
      </x:c>
      <x:c r="F49" s="13" t="str">
        <x:f>IF(A49="","",'納品入力_横型'!H13)</x:f>
      </x:c>
      <x:c r="G49" s="13" t="str">
        <x:f>IF(A49="","",'納品入力_横型'!B13)</x:f>
      </x:c>
      <x:c r="H49" s="13" t="str">
        <x:f>IF(A49="","",F49*G49)</x:f>
      </x:c>
      <x:c r="I49" s="12" t="str">
        <x:f>IF(A49="","",INDEX('顧客別単価マスタ'!$E$4:$E$100,MATCH(1,('顧客別単価マスタ'!$A$4:$A$100='納品入力_横型'!$B$4)*('顧客別単価マスタ'!$C$4:$C$100=E49)*IF('顧客別単価マスタ'!$B$4:$B$100="",1,'顧客別単価マスタ'!$B$4:$B$100="S001"),0)))</x:f>
      </x:c>
      <x:c r="J49" s="12" t="str">
        <x:f>IF(A49="","","")</x:f>
      </x:c>
    </x:row>
    <x:row r="50">
      <x:c r="A50" s="12" t="str">
        <x:f>IF(OR('納品入力_横型'!I10="",'納品入力_横型'!I13=""),"",'納品入力_横型'!$E$3)</x:f>
      </x:c>
      <x:c r="B50" s="12" t="str">
        <x:f>IF(A50="","",'納品入力_横型'!$B$3)</x:f>
      </x:c>
      <x:c r="C50" s="12" t="str">
        <x:f>IF(A50="","","本店")</x:f>
      </x:c>
      <x:c r="D50" s="36" t="str">
        <x:f>IF(A50="","",'納品入力_横型'!I10)</x:f>
      </x:c>
      <x:c r="E50" s="12" t="str">
        <x:f>IF(A50="","",'納品入力_横型'!A13)</x:f>
      </x:c>
      <x:c r="F50" s="13" t="str">
        <x:f>IF(A50="","",'納品入力_横型'!I13)</x:f>
      </x:c>
      <x:c r="G50" s="13" t="str">
        <x:f>IF(A50="","",'納品入力_横型'!B13)</x:f>
      </x:c>
      <x:c r="H50" s="13" t="str">
        <x:f>IF(A50="","",F50*G50)</x:f>
      </x:c>
      <x:c r="I50" s="12" t="str">
        <x:f>IF(A50="","",INDEX('顧客別単価マスタ'!$E$4:$E$100,MATCH(1,('顧客別単価マスタ'!$A$4:$A$100='納品入力_横型'!$B$4)*('顧客別単価マスタ'!$C$4:$C$100=E50)*IF('顧客別単価マスタ'!$B$4:$B$100="",1,'顧客別単価マスタ'!$B$4:$B$100="S001"),0)))</x:f>
      </x:c>
      <x:c r="J50" s="12" t="str">
        <x:f>IF(A50="","","")</x:f>
      </x:c>
    </x:row>
    <x:row r="51">
      <x:c r="A51" s="12" t="str">
        <x:f>IF(OR('納品入力_横型'!J10="",'納品入力_横型'!J13=""),"",'納品入力_横型'!$E$3)</x:f>
      </x:c>
      <x:c r="B51" s="12" t="str">
        <x:f>IF(A51="","",'納品入力_横型'!$B$3)</x:f>
      </x:c>
      <x:c r="C51" s="12" t="str">
        <x:f>IF(A51="","","本店")</x:f>
      </x:c>
      <x:c r="D51" s="36" t="str">
        <x:f>IF(A51="","",'納品入力_横型'!J10)</x:f>
      </x:c>
      <x:c r="E51" s="12" t="str">
        <x:f>IF(A51="","",'納品入力_横型'!A13)</x:f>
      </x:c>
      <x:c r="F51" s="13" t="str">
        <x:f>IF(A51="","",'納品入力_横型'!J13)</x:f>
      </x:c>
      <x:c r="G51" s="13" t="str">
        <x:f>IF(A51="","",'納品入力_横型'!B13)</x:f>
      </x:c>
      <x:c r="H51" s="13" t="str">
        <x:f>IF(A51="","",F51*G51)</x:f>
      </x:c>
      <x:c r="I51" s="12" t="str">
        <x:f>IF(A51="","",INDEX('顧客別単価マスタ'!$E$4:$E$100,MATCH(1,('顧客別単価マスタ'!$A$4:$A$100='納品入力_横型'!$B$4)*('顧客別単価マスタ'!$C$4:$C$100=E51)*IF('顧客別単価マスタ'!$B$4:$B$100="",1,'顧客別単価マスタ'!$B$4:$B$100="S001"),0)))</x:f>
      </x:c>
      <x:c r="J51" s="12" t="str">
        <x:f>IF(A51="","","")</x:f>
      </x:c>
    </x:row>
    <x:row r="52">
      <x:c r="A52" s="12" t="str">
        <x:f>IF(OR('納品入力_横型'!K10="",'納品入力_横型'!K13=""),"",'納品入力_横型'!$E$3)</x:f>
      </x:c>
      <x:c r="B52" s="12" t="str">
        <x:f>IF(A52="","",'納品入力_横型'!$B$3)</x:f>
      </x:c>
      <x:c r="C52" s="12" t="str">
        <x:f>IF(A52="","","本店")</x:f>
      </x:c>
      <x:c r="D52" s="36" t="str">
        <x:f>IF(A52="","",'納品入力_横型'!K10)</x:f>
      </x:c>
      <x:c r="E52" s="12" t="str">
        <x:f>IF(A52="","",'納品入力_横型'!A13)</x:f>
      </x:c>
      <x:c r="F52" s="13" t="str">
        <x:f>IF(A52="","",'納品入力_横型'!K13)</x:f>
      </x:c>
      <x:c r="G52" s="13" t="str">
        <x:f>IF(A52="","",'納品入力_横型'!B13)</x:f>
      </x:c>
      <x:c r="H52" s="13" t="str">
        <x:f>IF(A52="","",F52*G52)</x:f>
      </x:c>
      <x:c r="I52" s="12" t="str">
        <x:f>IF(A52="","",INDEX('顧客別単価マスタ'!$E$4:$E$100,MATCH(1,('顧客別単価マスタ'!$A$4:$A$100='納品入力_横型'!$B$4)*('顧客別単価マスタ'!$C$4:$C$100=E52)*IF('顧客別単価マスタ'!$B$4:$B$100="",1,'顧客別単価マスタ'!$B$4:$B$100="S001"),0)))</x:f>
      </x:c>
      <x:c r="J52" s="12" t="str">
        <x:f>IF(A52="","","")</x:f>
      </x:c>
    </x:row>
    <x:row r="53">
      <x:c r="A53" s="12" t="str">
        <x:f>IF(OR('納品入力_横型'!L10="",'納品入力_横型'!L13=""),"",'納品入力_横型'!$E$3)</x:f>
      </x:c>
      <x:c r="B53" s="12" t="str">
        <x:f>IF(A53="","",'納品入力_横型'!$B$3)</x:f>
      </x:c>
      <x:c r="C53" s="12" t="str">
        <x:f>IF(A53="","","本店")</x:f>
      </x:c>
      <x:c r="D53" s="36" t="str">
        <x:f>IF(A53="","",'納品入力_横型'!L10)</x:f>
      </x:c>
      <x:c r="E53" s="12" t="str">
        <x:f>IF(A53="","",'納品入力_横型'!A13)</x:f>
      </x:c>
      <x:c r="F53" s="13" t="str">
        <x:f>IF(A53="","",'納品入力_横型'!L13)</x:f>
      </x:c>
      <x:c r="G53" s="13" t="str">
        <x:f>IF(A53="","",'納品入力_横型'!B13)</x:f>
      </x:c>
      <x:c r="H53" s="13" t="str">
        <x:f>IF(A53="","",F53*G53)</x:f>
      </x:c>
      <x:c r="I53" s="12" t="str">
        <x:f>IF(A53="","",INDEX('顧客別単価マスタ'!$E$4:$E$100,MATCH(1,('顧客別単価マスタ'!$A$4:$A$100='納品入力_横型'!$B$4)*('顧客別単価マスタ'!$C$4:$C$100=E53)*IF('顧客別単価マスタ'!$B$4:$B$100="",1,'顧客別単価マスタ'!$B$4:$B$100="S001"),0)))</x:f>
      </x:c>
      <x:c r="J53" s="12" t="str">
        <x:f>IF(A53="","","")</x:f>
      </x:c>
    </x:row>
    <x:row r="54">
      <x:c r="A54" s="12" t="str">
        <x:f>IF(OR('納品入力_横型'!M10="",'納品入力_横型'!M13=""),"",'納品入力_横型'!$E$3)</x:f>
      </x:c>
      <x:c r="B54" s="12" t="str">
        <x:f>IF(A54="","",'納品入力_横型'!$B$3)</x:f>
      </x:c>
      <x:c r="C54" s="12" t="str">
        <x:f>IF(A54="","","本店")</x:f>
      </x:c>
      <x:c r="D54" s="36" t="str">
        <x:f>IF(A54="","",'納品入力_横型'!M10)</x:f>
      </x:c>
      <x:c r="E54" s="12" t="str">
        <x:f>IF(A54="","",'納品入力_横型'!A13)</x:f>
      </x:c>
      <x:c r="F54" s="13" t="str">
        <x:f>IF(A54="","",'納品入力_横型'!M13)</x:f>
      </x:c>
      <x:c r="G54" s="13" t="str">
        <x:f>IF(A54="","",'納品入力_横型'!B13)</x:f>
      </x:c>
      <x:c r="H54" s="13" t="str">
        <x:f>IF(A54="","",F54*G54)</x:f>
      </x:c>
      <x:c r="I54" s="12" t="str">
        <x:f>IF(A54="","",INDEX('顧客別単価マスタ'!$E$4:$E$100,MATCH(1,('顧客別単価マスタ'!$A$4:$A$100='納品入力_横型'!$B$4)*('顧客別単価マスタ'!$C$4:$C$100=E54)*IF('顧客別単価マスタ'!$B$4:$B$100="",1,'顧客別単価マスタ'!$B$4:$B$100="S001"),0)))</x:f>
      </x:c>
      <x:c r="J54" s="12" t="str">
        <x:f>IF(A54="","","")</x:f>
      </x:c>
    </x:row>
    <x:row r="55">
      <x:c r="A55" s="12" t="str">
        <x:f>IF(OR('納品入力_横型'!N10="",'納品入力_横型'!N13=""),"",'納品入力_横型'!$E$3)</x:f>
      </x:c>
      <x:c r="B55" s="12" t="str">
        <x:f>IF(A55="","",'納品入力_横型'!$B$3)</x:f>
      </x:c>
      <x:c r="C55" s="12" t="str">
        <x:f>IF(A55="","","本店")</x:f>
      </x:c>
      <x:c r="D55" s="36" t="str">
        <x:f>IF(A55="","",'納品入力_横型'!N10)</x:f>
      </x:c>
      <x:c r="E55" s="12" t="str">
        <x:f>IF(A55="","",'納品入力_横型'!A13)</x:f>
      </x:c>
      <x:c r="F55" s="13" t="str">
        <x:f>IF(A55="","",'納品入力_横型'!N13)</x:f>
      </x:c>
      <x:c r="G55" s="13" t="str">
        <x:f>IF(A55="","",'納品入力_横型'!B13)</x:f>
      </x:c>
      <x:c r="H55" s="13" t="str">
        <x:f>IF(A55="","",F55*G55)</x:f>
      </x:c>
      <x:c r="I55" s="12" t="str">
        <x:f>IF(A55="","",INDEX('顧客別単価マスタ'!$E$4:$E$100,MATCH(1,('顧客別単価マスタ'!$A$4:$A$100='納品入力_横型'!$B$4)*('顧客別単価マスタ'!$C$4:$C$100=E55)*IF('顧客別単価マスタ'!$B$4:$B$100="",1,'顧客別単価マスタ'!$B$4:$B$100="S001"),0)))</x:f>
      </x:c>
      <x:c r="J55" s="12" t="str">
        <x:f>IF(A55="","","")</x:f>
      </x:c>
    </x:row>
    <x:row r="56">
      <x:c r="A56" s="12" t="str">
        <x:f>IF(OR('納品入力_横型'!O10="",'納品入力_横型'!O13=""),"",'納品入力_横型'!$E$3)</x:f>
      </x:c>
      <x:c r="B56" s="12" t="str">
        <x:f>IF(A56="","",'納品入力_横型'!$B$3)</x:f>
      </x:c>
      <x:c r="C56" s="12" t="str">
        <x:f>IF(A56="","","本店")</x:f>
      </x:c>
      <x:c r="D56" s="36" t="str">
        <x:f>IF(A56="","",'納品入力_横型'!O10)</x:f>
      </x:c>
      <x:c r="E56" s="12" t="str">
        <x:f>IF(A56="","",'納品入力_横型'!A13)</x:f>
      </x:c>
      <x:c r="F56" s="13" t="str">
        <x:f>IF(A56="","",'納品入力_横型'!O13)</x:f>
      </x:c>
      <x:c r="G56" s="13" t="str">
        <x:f>IF(A56="","",'納品入力_横型'!B13)</x:f>
      </x:c>
      <x:c r="H56" s="13" t="str">
        <x:f>IF(A56="","",F56*G56)</x:f>
      </x:c>
      <x:c r="I56" s="12" t="str">
        <x:f>IF(A56="","",INDEX('顧客別単価マスタ'!$E$4:$E$100,MATCH(1,('顧客別単価マスタ'!$A$4:$A$100='納品入力_横型'!$B$4)*('顧客別単価マスタ'!$C$4:$C$100=E56)*IF('顧客別単価マスタ'!$B$4:$B$100="",1,'顧客別単価マスタ'!$B$4:$B$100="S001"),0)))</x:f>
      </x:c>
      <x:c r="J56" s="12" t="str">
        <x:f>IF(A56="","","")</x:f>
      </x:c>
    </x:row>
    <x:row r="57">
      <x:c r="A57" s="12" t="str">
        <x:f>IF(OR('納品入力_横型'!P10="",'納品入力_横型'!P13=""),"",'納品入力_横型'!$E$3)</x:f>
      </x:c>
      <x:c r="B57" s="12" t="str">
        <x:f>IF(A57="","",'納品入力_横型'!$B$3)</x:f>
      </x:c>
      <x:c r="C57" s="12" t="str">
        <x:f>IF(A57="","","本店")</x:f>
      </x:c>
      <x:c r="D57" s="36" t="str">
        <x:f>IF(A57="","",'納品入力_横型'!P10)</x:f>
      </x:c>
      <x:c r="E57" s="12" t="str">
        <x:f>IF(A57="","",'納品入力_横型'!A13)</x:f>
      </x:c>
      <x:c r="F57" s="13" t="str">
        <x:f>IF(A57="","",'納品入力_横型'!P13)</x:f>
      </x:c>
      <x:c r="G57" s="13" t="str">
        <x:f>IF(A57="","",'納品入力_横型'!B13)</x:f>
      </x:c>
      <x:c r="H57" s="13" t="str">
        <x:f>IF(A57="","",F57*G57)</x:f>
      </x:c>
      <x:c r="I57" s="12" t="str">
        <x:f>IF(A57="","",INDEX('顧客別単価マスタ'!$E$4:$E$100,MATCH(1,('顧客別単価マスタ'!$A$4:$A$100='納品入力_横型'!$B$4)*('顧客別単価マスタ'!$C$4:$C$100=E57)*IF('顧客別単価マスタ'!$B$4:$B$100="",1,'顧客別単価マスタ'!$B$4:$B$100="S001"),0)))</x:f>
      </x:c>
      <x:c r="J57" s="12" t="str">
        <x:f>IF(A57="","","")</x:f>
      </x:c>
    </x:row>
    <x:row r="58">
      <x:c r="A58" s="12" t="str">
        <x:f>IF(OR('納品入力_横型'!Q10="",'納品入力_横型'!Q13=""),"",'納品入力_横型'!$E$3)</x:f>
      </x:c>
      <x:c r="B58" s="12" t="str">
        <x:f>IF(A58="","",'納品入力_横型'!$B$3)</x:f>
      </x:c>
      <x:c r="C58" s="12" t="str">
        <x:f>IF(A58="","","本店")</x:f>
      </x:c>
      <x:c r="D58" s="36" t="str">
        <x:f>IF(A58="","",'納品入力_横型'!Q10)</x:f>
      </x:c>
      <x:c r="E58" s="12" t="str">
        <x:f>IF(A58="","",'納品入力_横型'!A13)</x:f>
      </x:c>
      <x:c r="F58" s="13" t="str">
        <x:f>IF(A58="","",'納品入力_横型'!Q13)</x:f>
      </x:c>
      <x:c r="G58" s="13" t="str">
        <x:f>IF(A58="","",'納品入力_横型'!B13)</x:f>
      </x:c>
      <x:c r="H58" s="13" t="str">
        <x:f>IF(A58="","",F58*G58)</x:f>
      </x:c>
      <x:c r="I58" s="12" t="str">
        <x:f>IF(A58="","",INDEX('顧客別単価マスタ'!$E$4:$E$100,MATCH(1,('顧客別単価マスタ'!$A$4:$A$100='納品入力_横型'!$B$4)*('顧客別単価マスタ'!$C$4:$C$100=E58)*IF('顧客別単価マスタ'!$B$4:$B$100="",1,'顧客別単価マスタ'!$B$4:$B$100="S001"),0)))</x:f>
      </x:c>
      <x:c r="J58" s="12" t="str">
        <x:f>IF(A58="","","")</x:f>
      </x:c>
    </x:row>
    <x:row r="59">
      <x:c r="A59" s="12" t="str">
        <x:f>IF(OR('納品入力_横型'!R10="",'納品入力_横型'!R13=""),"",'納品入力_横型'!$E$3)</x:f>
      </x:c>
      <x:c r="B59" s="12" t="str">
        <x:f>IF(A59="","",'納品入力_横型'!$B$3)</x:f>
      </x:c>
      <x:c r="C59" s="12" t="str">
        <x:f>IF(A59="","","本店")</x:f>
      </x:c>
      <x:c r="D59" s="36" t="str">
        <x:f>IF(A59="","",'納品入力_横型'!R10)</x:f>
      </x:c>
      <x:c r="E59" s="12" t="str">
        <x:f>IF(A59="","",'納品入力_横型'!A13)</x:f>
      </x:c>
      <x:c r="F59" s="13" t="str">
        <x:f>IF(A59="","",'納品入力_横型'!R13)</x:f>
      </x:c>
      <x:c r="G59" s="13" t="str">
        <x:f>IF(A59="","",'納品入力_横型'!B13)</x:f>
      </x:c>
      <x:c r="H59" s="13" t="str">
        <x:f>IF(A59="","",F59*G59)</x:f>
      </x:c>
      <x:c r="I59" s="12" t="str">
        <x:f>IF(A59="","",INDEX('顧客別単価マスタ'!$E$4:$E$100,MATCH(1,('顧客別単価マスタ'!$A$4:$A$100='納品入力_横型'!$B$4)*('顧客別単価マスタ'!$C$4:$C$100=E59)*IF('顧客別単価マスタ'!$B$4:$B$100="",1,'顧客別単価マスタ'!$B$4:$B$100="S001"),0)))</x:f>
      </x:c>
      <x:c r="J59" s="12" t="str">
        <x:f>IF(A59="","","")</x:f>
      </x:c>
    </x:row>
    <x:row r="60">
      <x:c r="A60" s="12" t="str">
        <x:f>IF(OR('納品入力_横型'!S10="",'納品入力_横型'!S13=""),"",'納品入力_横型'!$E$3)</x:f>
      </x:c>
      <x:c r="B60" s="12" t="str">
        <x:f>IF(A60="","",'納品入力_横型'!$B$3)</x:f>
      </x:c>
      <x:c r="C60" s="12" t="str">
        <x:f>IF(A60="","","本店")</x:f>
      </x:c>
      <x:c r="D60" s="36" t="str">
        <x:f>IF(A60="","",'納品入力_横型'!S10)</x:f>
      </x:c>
      <x:c r="E60" s="12" t="str">
        <x:f>IF(A60="","",'納品入力_横型'!A13)</x:f>
      </x:c>
      <x:c r="F60" s="13" t="str">
        <x:f>IF(A60="","",'納品入力_横型'!S13)</x:f>
      </x:c>
      <x:c r="G60" s="13" t="str">
        <x:f>IF(A60="","",'納品入力_横型'!B13)</x:f>
      </x:c>
      <x:c r="H60" s="13" t="str">
        <x:f>IF(A60="","",F60*G60)</x:f>
      </x:c>
      <x:c r="I60" s="12" t="str">
        <x:f>IF(A60="","",INDEX('顧客別単価マスタ'!$E$4:$E$100,MATCH(1,('顧客別単価マスタ'!$A$4:$A$100='納品入力_横型'!$B$4)*('顧客別単価マスタ'!$C$4:$C$100=E60)*IF('顧客別単価マスタ'!$B$4:$B$100="",1,'顧客別単価マスタ'!$B$4:$B$100="S001"),0)))</x:f>
      </x:c>
      <x:c r="J60" s="12" t="str">
        <x:f>IF(A60="","","")</x:f>
      </x:c>
    </x:row>
    <x:row r="61">
      <x:c r="A61" s="12" t="str">
        <x:f>IF(OR('納品入力_横型'!T10="",'納品入力_横型'!T13=""),"",'納品入力_横型'!$E$3)</x:f>
      </x:c>
      <x:c r="B61" s="12" t="str">
        <x:f>IF(A61="","",'納品入力_横型'!$B$3)</x:f>
      </x:c>
      <x:c r="C61" s="12" t="str">
        <x:f>IF(A61="","","本店")</x:f>
      </x:c>
      <x:c r="D61" s="36" t="str">
        <x:f>IF(A61="","",'納品入力_横型'!T10)</x:f>
      </x:c>
      <x:c r="E61" s="12" t="str">
        <x:f>IF(A61="","",'納品入力_横型'!A13)</x:f>
      </x:c>
      <x:c r="F61" s="13" t="str">
        <x:f>IF(A61="","",'納品入力_横型'!T13)</x:f>
      </x:c>
      <x:c r="G61" s="13" t="str">
        <x:f>IF(A61="","",'納品入力_横型'!B13)</x:f>
      </x:c>
      <x:c r="H61" s="13" t="str">
        <x:f>IF(A61="","",F61*G61)</x:f>
      </x:c>
      <x:c r="I61" s="12" t="str">
        <x:f>IF(A61="","",INDEX('顧客別単価マスタ'!$E$4:$E$100,MATCH(1,('顧客別単価マスタ'!$A$4:$A$100='納品入力_横型'!$B$4)*('顧客別単価マスタ'!$C$4:$C$100=E61)*IF('顧客別単価マスタ'!$B$4:$B$100="",1,'顧客別単価マスタ'!$B$4:$B$100="S001"),0)))</x:f>
      </x:c>
      <x:c r="J61" s="12" t="str">
        <x:f>IF(A61="","","")</x:f>
      </x:c>
    </x:row>
    <x:row r="62">
      <x:c r="A62" s="12" t="str">
        <x:f>IF(OR('納品入力_横型'!U10="",'納品入力_横型'!U13=""),"",'納品入力_横型'!$E$3)</x:f>
      </x:c>
      <x:c r="B62" s="12" t="str">
        <x:f>IF(A62="","",'納品入力_横型'!$B$3)</x:f>
      </x:c>
      <x:c r="C62" s="12" t="str">
        <x:f>IF(A62="","","本店")</x:f>
      </x:c>
      <x:c r="D62" s="36" t="str">
        <x:f>IF(A62="","",'納品入力_横型'!U10)</x:f>
      </x:c>
      <x:c r="E62" s="12" t="str">
        <x:f>IF(A62="","",'納品入力_横型'!A13)</x:f>
      </x:c>
      <x:c r="F62" s="13" t="str">
        <x:f>IF(A62="","",'納品入力_横型'!U13)</x:f>
      </x:c>
      <x:c r="G62" s="13" t="str">
        <x:f>IF(A62="","",'納品入力_横型'!B13)</x:f>
      </x:c>
      <x:c r="H62" s="13" t="str">
        <x:f>IF(A62="","",F62*G62)</x:f>
      </x:c>
      <x:c r="I62" s="12" t="str">
        <x:f>IF(A62="","",INDEX('顧客別単価マスタ'!$E$4:$E$100,MATCH(1,('顧客別単価マスタ'!$A$4:$A$100='納品入力_横型'!$B$4)*('顧客別単価マスタ'!$C$4:$C$100=E62)*IF('顧客別単価マスタ'!$B$4:$B$100="",1,'顧客別単価マスタ'!$B$4:$B$100="S001"),0)))</x:f>
      </x:c>
      <x:c r="J62" s="12" t="str">
        <x:f>IF(A62="","","")</x:f>
      </x:c>
    </x:row>
    <x:row r="63">
      <x:c r="A63" s="12" t="str">
        <x:f>IF(OR('納品入力_横型'!V10="",'納品入力_横型'!V13=""),"",'納品入力_横型'!$E$3)</x:f>
      </x:c>
      <x:c r="B63" s="12" t="str">
        <x:f>IF(A63="","",'納品入力_横型'!$B$3)</x:f>
      </x:c>
      <x:c r="C63" s="12" t="str">
        <x:f>IF(A63="","","本店")</x:f>
      </x:c>
      <x:c r="D63" s="36" t="str">
        <x:f>IF(A63="","",'納品入力_横型'!V10)</x:f>
      </x:c>
      <x:c r="E63" s="12" t="str">
        <x:f>IF(A63="","",'納品入力_横型'!A13)</x:f>
      </x:c>
      <x:c r="F63" s="13" t="str">
        <x:f>IF(A63="","",'納品入力_横型'!V13)</x:f>
      </x:c>
      <x:c r="G63" s="13" t="str">
        <x:f>IF(A63="","",'納品入力_横型'!B13)</x:f>
      </x:c>
      <x:c r="H63" s="13" t="str">
        <x:f>IF(A63="","",F63*G63)</x:f>
      </x:c>
      <x:c r="I63" s="12" t="str">
        <x:f>IF(A63="","",INDEX('顧客別単価マスタ'!$E$4:$E$100,MATCH(1,('顧客別単価マスタ'!$A$4:$A$100='納品入力_横型'!$B$4)*('顧客別単価マスタ'!$C$4:$C$100=E63)*IF('顧客別単価マスタ'!$B$4:$B$100="",1,'顧客別単価マスタ'!$B$4:$B$100="S001"),0)))</x:f>
      </x:c>
      <x:c r="J63" s="12" t="str">
        <x:f>IF(A63="","","")</x:f>
      </x:c>
    </x:row>
    <x:row r="64">
      <x:c r="A64" s="12" t="str">
        <x:f>IF(OR('納品入力_横型'!C10="",'納品入力_横型'!C14=""),"",'納品入力_横型'!$E$3)</x:f>
        <x:v>2026年4月</x:v>
      </x:c>
      <x:c r="B64" s="12" t="str">
        <x:f>IF(A64="","",'納品入力_横型'!$B$3)</x:f>
        <x:v>〇〇株式会社</x:v>
      </x:c>
      <x:c r="C64" s="12" t="str">
        <x:f>IF(A64="","","本店")</x:f>
        <x:v>本店</x:v>
      </x:c>
      <x:c r="D64" s="36" t="n">
        <x:f>IF(A64="","",'納品入力_横型'!C10)</x:f>
        <x:v>46113</x:v>
      </x:c>
      <x:c r="E64" s="12" t="str">
        <x:f>IF(A64="","",'納品入力_横型'!A14)</x:f>
        <x:v>配達料</x:v>
      </x:c>
      <x:c r="F64" s="13" t="n">
        <x:f>IF(A64="","",'納品入力_横型'!C14)</x:f>
        <x:v>1</x:v>
      </x:c>
      <x:c r="G64" s="13" t="n">
        <x:f>IF(A64="","",'納品入力_横型'!B14)</x:f>
        <x:v>150</x:v>
      </x:c>
      <x:c r="H64" s="13" t="n">
        <x:f>IF(A64="","",F64*G64)</x:f>
        <x:v>150</x:v>
      </x:c>
      <x:c r="I64" s="12" t="str">
        <x:f>IF(A64="","",INDEX('顧客別単価マスタ'!$E$4:$E$100,MATCH(1,('顧客別単価マスタ'!$A$4:$A$100='納品入力_横型'!$B$4)*('顧客別単価マスタ'!$C$4:$C$100=E64)*IF('顧客別単価マスタ'!$B$4:$B$100="",1,'顧客別単価マスタ'!$B$4:$B$100="S001"),0)))</x:f>
        <x:v>配達料</x:v>
      </x:c>
      <x:c r="J64" s="12" t="str">
        <x:f>IF(A64="","","")</x:f>
      </x:c>
    </x:row>
    <x:row r="65">
      <x:c r="A65" s="12" t="str">
        <x:f>IF(OR('納品入力_横型'!D10="",'納品入力_横型'!D14=""),"",'納品入力_横型'!$E$3)</x:f>
        <x:v>2026年4月</x:v>
      </x:c>
      <x:c r="B65" s="12" t="str">
        <x:f>IF(A65="","",'納品入力_横型'!$B$3)</x:f>
        <x:v>〇〇株式会社</x:v>
      </x:c>
      <x:c r="C65" s="12" t="str">
        <x:f>IF(A65="","","本店")</x:f>
        <x:v>本店</x:v>
      </x:c>
      <x:c r="D65" s="36" t="n">
        <x:f>IF(A65="","",'納品入力_横型'!D10)</x:f>
        <x:v>46116</x:v>
      </x:c>
      <x:c r="E65" s="12" t="str">
        <x:f>IF(A65="","",'納品入力_横型'!A14)</x:f>
        <x:v>配達料</x:v>
      </x:c>
      <x:c r="F65" s="13" t="n">
        <x:f>IF(A65="","",'納品入力_横型'!D14)</x:f>
        <x:v>1</x:v>
      </x:c>
      <x:c r="G65" s="13" t="n">
        <x:f>IF(A65="","",'納品入力_横型'!B14)</x:f>
        <x:v>150</x:v>
      </x:c>
      <x:c r="H65" s="13" t="n">
        <x:f>IF(A65="","",F65*G65)</x:f>
        <x:v>150</x:v>
      </x:c>
      <x:c r="I65" s="12" t="str">
        <x:f>IF(A65="","",INDEX('顧客別単価マスタ'!$E$4:$E$100,MATCH(1,('顧客別単価マスタ'!$A$4:$A$100='納品入力_横型'!$B$4)*('顧客別単価マスタ'!$C$4:$C$100=E65)*IF('顧客別単価マスタ'!$B$4:$B$100="",1,'顧客別単価マスタ'!$B$4:$B$100="S001"),0)))</x:f>
        <x:v>配達料</x:v>
      </x:c>
      <x:c r="J65" s="12" t="str">
        <x:f>IF(A65="","","")</x:f>
      </x:c>
    </x:row>
    <x:row r="66">
      <x:c r="A66" s="12" t="str">
        <x:f>IF(OR('納品入力_横型'!E10="",'納品入力_横型'!E14=""),"",'納品入力_横型'!$E$3)</x:f>
        <x:v>2026年4月</x:v>
      </x:c>
      <x:c r="B66" s="12" t="str">
        <x:f>IF(A66="","",'納品入力_横型'!$B$3)</x:f>
        <x:v>〇〇株式会社</x:v>
      </x:c>
      <x:c r="C66" s="12" t="str">
        <x:f>IF(A66="","","本店")</x:f>
        <x:v>本店</x:v>
      </x:c>
      <x:c r="D66" s="36" t="n">
        <x:f>IF(A66="","",'納品入力_横型'!E10)</x:f>
        <x:v>46121</x:v>
      </x:c>
      <x:c r="E66" s="12" t="str">
        <x:f>IF(A66="","",'納品入力_横型'!A14)</x:f>
        <x:v>配達料</x:v>
      </x:c>
      <x:c r="F66" s="13" t="n">
        <x:f>IF(A66="","",'納品入力_横型'!E14)</x:f>
        <x:v>1</x:v>
      </x:c>
      <x:c r="G66" s="13" t="n">
        <x:f>IF(A66="","",'納品入力_横型'!B14)</x:f>
        <x:v>150</x:v>
      </x:c>
      <x:c r="H66" s="13" t="n">
        <x:f>IF(A66="","",F66*G66)</x:f>
        <x:v>150</x:v>
      </x:c>
      <x:c r="I66" s="12" t="str">
        <x:f>IF(A66="","",INDEX('顧客別単価マスタ'!$E$4:$E$100,MATCH(1,('顧客別単価マスタ'!$A$4:$A$100='納品入力_横型'!$B$4)*('顧客別単価マスタ'!$C$4:$C$100=E66)*IF('顧客別単価マスタ'!$B$4:$B$100="",1,'顧客別単価マスタ'!$B$4:$B$100="S001"),0)))</x:f>
        <x:v>配達料</x:v>
      </x:c>
      <x:c r="J66" s="12" t="str">
        <x:f>IF(A66="","","")</x:f>
      </x:c>
    </x:row>
    <x:row r="67">
      <x:c r="A67" s="12" t="str">
        <x:f>IF(OR('納品入力_横型'!F10="",'納品入力_横型'!F14=""),"",'納品入力_横型'!$E$3)</x:f>
        <x:v>2026年4月</x:v>
      </x:c>
      <x:c r="B67" s="12" t="str">
        <x:f>IF(A67="","",'納品入力_横型'!$B$3)</x:f>
        <x:v>〇〇株式会社</x:v>
      </x:c>
      <x:c r="C67" s="12" t="str">
        <x:f>IF(A67="","","本店")</x:f>
        <x:v>本店</x:v>
      </x:c>
      <x:c r="D67" s="36" t="n">
        <x:f>IF(A67="","",'納品入力_横型'!F10)</x:f>
        <x:v>46127</x:v>
      </x:c>
      <x:c r="E67" s="12" t="str">
        <x:f>IF(A67="","",'納品入力_横型'!A14)</x:f>
        <x:v>配達料</x:v>
      </x:c>
      <x:c r="F67" s="13" t="n">
        <x:f>IF(A67="","",'納品入力_横型'!F14)</x:f>
        <x:v>1</x:v>
      </x:c>
      <x:c r="G67" s="13" t="n">
        <x:f>IF(A67="","",'納品入力_横型'!B14)</x:f>
        <x:v>150</x:v>
      </x:c>
      <x:c r="H67" s="13" t="n">
        <x:f>IF(A67="","",F67*G67)</x:f>
        <x:v>150</x:v>
      </x:c>
      <x:c r="I67" s="12" t="str">
        <x:f>IF(A67="","",INDEX('顧客別単価マスタ'!$E$4:$E$100,MATCH(1,('顧客別単価マスタ'!$A$4:$A$100='納品入力_横型'!$B$4)*('顧客別単価マスタ'!$C$4:$C$100=E67)*IF('顧客別単価マスタ'!$B$4:$B$100="",1,'顧客別単価マスタ'!$B$4:$B$100="S001"),0)))</x:f>
        <x:v>配達料</x:v>
      </x:c>
      <x:c r="J67" s="12" t="str">
        <x:f>IF(A67="","","")</x:f>
      </x:c>
    </x:row>
    <x:row r="68">
      <x:c r="A68" s="12" t="str">
        <x:f>IF(OR('納品入力_横型'!G10="",'納品入力_横型'!G14=""),"",'納品入力_横型'!$E$3)</x:f>
        <x:v>2026年4月</x:v>
      </x:c>
      <x:c r="B68" s="12" t="str">
        <x:f>IF(A68="","",'納品入力_横型'!$B$3)</x:f>
        <x:v>〇〇株式会社</x:v>
      </x:c>
      <x:c r="C68" s="12" t="str">
        <x:f>IF(A68="","","本店")</x:f>
        <x:v>本店</x:v>
      </x:c>
      <x:c r="D68" s="36" t="n">
        <x:f>IF(A68="","",'納品入力_横型'!G10)</x:f>
        <x:v>46132</x:v>
      </x:c>
      <x:c r="E68" s="12" t="str">
        <x:f>IF(A68="","",'納品入力_横型'!A14)</x:f>
        <x:v>配達料</x:v>
      </x:c>
      <x:c r="F68" s="13" t="n">
        <x:f>IF(A68="","",'納品入力_横型'!G14)</x:f>
        <x:v>1</x:v>
      </x:c>
      <x:c r="G68" s="13" t="n">
        <x:f>IF(A68="","",'納品入力_横型'!B14)</x:f>
        <x:v>150</x:v>
      </x:c>
      <x:c r="H68" s="13" t="n">
        <x:f>IF(A68="","",F68*G68)</x:f>
        <x:v>150</x:v>
      </x:c>
      <x:c r="I68" s="12" t="str">
        <x:f>IF(A68="","",INDEX('顧客別単価マスタ'!$E$4:$E$100,MATCH(1,('顧客別単価マスタ'!$A$4:$A$100='納品入力_横型'!$B$4)*('顧客別単価マスタ'!$C$4:$C$100=E68)*IF('顧客別単価マスタ'!$B$4:$B$100="",1,'顧客別単価マスタ'!$B$4:$B$100="S001"),0)))</x:f>
        <x:v>配達料</x:v>
      </x:c>
      <x:c r="J68" s="12" t="str">
        <x:f>IF(A68="","","")</x:f>
      </x:c>
    </x:row>
    <x:row r="69">
      <x:c r="A69" s="12" t="str">
        <x:f>IF(OR('納品入力_横型'!H10="",'納品入力_横型'!H14=""),"",'納品入力_横型'!$E$3)</x:f>
      </x:c>
      <x:c r="B69" s="12" t="str">
        <x:f>IF(A69="","",'納品入力_横型'!$B$3)</x:f>
      </x:c>
      <x:c r="C69" s="12" t="str">
        <x:f>IF(A69="","","本店")</x:f>
      </x:c>
      <x:c r="D69" s="36" t="str">
        <x:f>IF(A69="","",'納品入力_横型'!H10)</x:f>
      </x:c>
      <x:c r="E69" s="12" t="str">
        <x:f>IF(A69="","",'納品入力_横型'!A14)</x:f>
      </x:c>
      <x:c r="F69" s="13" t="str">
        <x:f>IF(A69="","",'納品入力_横型'!H14)</x:f>
      </x:c>
      <x:c r="G69" s="13" t="str">
        <x:f>IF(A69="","",'納品入力_横型'!B14)</x:f>
      </x:c>
      <x:c r="H69" s="13" t="str">
        <x:f>IF(A69="","",F69*G69)</x:f>
      </x:c>
      <x:c r="I69" s="12" t="str">
        <x:f>IF(A69="","",INDEX('顧客別単価マスタ'!$E$4:$E$100,MATCH(1,('顧客別単価マスタ'!$A$4:$A$100='納品入力_横型'!$B$4)*('顧客別単価マスタ'!$C$4:$C$100=E69)*IF('顧客別単価マスタ'!$B$4:$B$100="",1,'顧客別単価マスタ'!$B$4:$B$100="S001"),0)))</x:f>
      </x:c>
      <x:c r="J69" s="12" t="str">
        <x:f>IF(A69="","","")</x:f>
      </x:c>
    </x:row>
    <x:row r="70">
      <x:c r="A70" s="12" t="str">
        <x:f>IF(OR('納品入力_横型'!I10="",'納品入力_横型'!I14=""),"",'納品入力_横型'!$E$3)</x:f>
      </x:c>
      <x:c r="B70" s="12" t="str">
        <x:f>IF(A70="","",'納品入力_横型'!$B$3)</x:f>
      </x:c>
      <x:c r="C70" s="12" t="str">
        <x:f>IF(A70="","","本店")</x:f>
      </x:c>
      <x:c r="D70" s="36" t="str">
        <x:f>IF(A70="","",'納品入力_横型'!I10)</x:f>
      </x:c>
      <x:c r="E70" s="12" t="str">
        <x:f>IF(A70="","",'納品入力_横型'!A14)</x:f>
      </x:c>
      <x:c r="F70" s="13" t="str">
        <x:f>IF(A70="","",'納品入力_横型'!I14)</x:f>
      </x:c>
      <x:c r="G70" s="13" t="str">
        <x:f>IF(A70="","",'納品入力_横型'!B14)</x:f>
      </x:c>
      <x:c r="H70" s="13" t="str">
        <x:f>IF(A70="","",F70*G70)</x:f>
      </x:c>
      <x:c r="I70" s="12" t="str">
        <x:f>IF(A70="","",INDEX('顧客別単価マスタ'!$E$4:$E$100,MATCH(1,('顧客別単価マスタ'!$A$4:$A$100='納品入力_横型'!$B$4)*('顧客別単価マスタ'!$C$4:$C$100=E70)*IF('顧客別単価マスタ'!$B$4:$B$100="",1,'顧客別単価マスタ'!$B$4:$B$100="S001"),0)))</x:f>
      </x:c>
      <x:c r="J70" s="12" t="str">
        <x:f>IF(A70="","","")</x:f>
      </x:c>
    </x:row>
    <x:row r="71">
      <x:c r="A71" s="12" t="str">
        <x:f>IF(OR('納品入力_横型'!J10="",'納品入力_横型'!J14=""),"",'納品入力_横型'!$E$3)</x:f>
      </x:c>
      <x:c r="B71" s="12" t="str">
        <x:f>IF(A71="","",'納品入力_横型'!$B$3)</x:f>
      </x:c>
      <x:c r="C71" s="12" t="str">
        <x:f>IF(A71="","","本店")</x:f>
      </x:c>
      <x:c r="D71" s="36" t="str">
        <x:f>IF(A71="","",'納品入力_横型'!J10)</x:f>
      </x:c>
      <x:c r="E71" s="12" t="str">
        <x:f>IF(A71="","",'納品入力_横型'!A14)</x:f>
      </x:c>
      <x:c r="F71" s="13" t="str">
        <x:f>IF(A71="","",'納品入力_横型'!J14)</x:f>
      </x:c>
      <x:c r="G71" s="13" t="str">
        <x:f>IF(A71="","",'納品入力_横型'!B14)</x:f>
      </x:c>
      <x:c r="H71" s="13" t="str">
        <x:f>IF(A71="","",F71*G71)</x:f>
      </x:c>
      <x:c r="I71" s="12" t="str">
        <x:f>IF(A71="","",INDEX('顧客別単価マスタ'!$E$4:$E$100,MATCH(1,('顧客別単価マスタ'!$A$4:$A$100='納品入力_横型'!$B$4)*('顧客別単価マスタ'!$C$4:$C$100=E71)*IF('顧客別単価マスタ'!$B$4:$B$100="",1,'顧客別単価マスタ'!$B$4:$B$100="S001"),0)))</x:f>
      </x:c>
      <x:c r="J71" s="12" t="str">
        <x:f>IF(A71="","","")</x:f>
      </x:c>
    </x:row>
    <x:row r="72">
      <x:c r="A72" s="12" t="str">
        <x:f>IF(OR('納品入力_横型'!K10="",'納品入力_横型'!K14=""),"",'納品入力_横型'!$E$3)</x:f>
      </x:c>
      <x:c r="B72" s="12" t="str">
        <x:f>IF(A72="","",'納品入力_横型'!$B$3)</x:f>
      </x:c>
      <x:c r="C72" s="12" t="str">
        <x:f>IF(A72="","","本店")</x:f>
      </x:c>
      <x:c r="D72" s="36" t="str">
        <x:f>IF(A72="","",'納品入力_横型'!K10)</x:f>
      </x:c>
      <x:c r="E72" s="12" t="str">
        <x:f>IF(A72="","",'納品入力_横型'!A14)</x:f>
      </x:c>
      <x:c r="F72" s="13" t="str">
        <x:f>IF(A72="","",'納品入力_横型'!K14)</x:f>
      </x:c>
      <x:c r="G72" s="13" t="str">
        <x:f>IF(A72="","",'納品入力_横型'!B14)</x:f>
      </x:c>
      <x:c r="H72" s="13" t="str">
        <x:f>IF(A72="","",F72*G72)</x:f>
      </x:c>
      <x:c r="I72" s="12" t="str">
        <x:f>IF(A72="","",INDEX('顧客別単価マスタ'!$E$4:$E$100,MATCH(1,('顧客別単価マスタ'!$A$4:$A$100='納品入力_横型'!$B$4)*('顧客別単価マスタ'!$C$4:$C$100=E72)*IF('顧客別単価マスタ'!$B$4:$B$100="",1,'顧客別単価マスタ'!$B$4:$B$100="S001"),0)))</x:f>
      </x:c>
      <x:c r="J72" s="12" t="str">
        <x:f>IF(A72="","","")</x:f>
      </x:c>
    </x:row>
    <x:row r="73">
      <x:c r="A73" s="12" t="str">
        <x:f>IF(OR('納品入力_横型'!L10="",'納品入力_横型'!L14=""),"",'納品入力_横型'!$E$3)</x:f>
      </x:c>
      <x:c r="B73" s="12" t="str">
        <x:f>IF(A73="","",'納品入力_横型'!$B$3)</x:f>
      </x:c>
      <x:c r="C73" s="12" t="str">
        <x:f>IF(A73="","","本店")</x:f>
      </x:c>
      <x:c r="D73" s="36" t="str">
        <x:f>IF(A73="","",'納品入力_横型'!L10)</x:f>
      </x:c>
      <x:c r="E73" s="12" t="str">
        <x:f>IF(A73="","",'納品入力_横型'!A14)</x:f>
      </x:c>
      <x:c r="F73" s="13" t="str">
        <x:f>IF(A73="","",'納品入力_横型'!L14)</x:f>
      </x:c>
      <x:c r="G73" s="13" t="str">
        <x:f>IF(A73="","",'納品入力_横型'!B14)</x:f>
      </x:c>
      <x:c r="H73" s="13" t="str">
        <x:f>IF(A73="","",F73*G73)</x:f>
      </x:c>
      <x:c r="I73" s="12" t="str">
        <x:f>IF(A73="","",INDEX('顧客別単価マスタ'!$E$4:$E$100,MATCH(1,('顧客別単価マスタ'!$A$4:$A$100='納品入力_横型'!$B$4)*('顧客別単価マスタ'!$C$4:$C$100=E73)*IF('顧客別単価マスタ'!$B$4:$B$100="",1,'顧客別単価マスタ'!$B$4:$B$100="S001"),0)))</x:f>
      </x:c>
      <x:c r="J73" s="12" t="str">
        <x:f>IF(A73="","","")</x:f>
      </x:c>
    </x:row>
    <x:row r="74">
      <x:c r="A74" s="12" t="str">
        <x:f>IF(OR('納品入力_横型'!M10="",'納品入力_横型'!M14=""),"",'納品入力_横型'!$E$3)</x:f>
      </x:c>
      <x:c r="B74" s="12" t="str">
        <x:f>IF(A74="","",'納品入力_横型'!$B$3)</x:f>
      </x:c>
      <x:c r="C74" s="12" t="str">
        <x:f>IF(A74="","","本店")</x:f>
      </x:c>
      <x:c r="D74" s="36" t="str">
        <x:f>IF(A74="","",'納品入力_横型'!M10)</x:f>
      </x:c>
      <x:c r="E74" s="12" t="str">
        <x:f>IF(A74="","",'納品入力_横型'!A14)</x:f>
      </x:c>
      <x:c r="F74" s="13" t="str">
        <x:f>IF(A74="","",'納品入力_横型'!M14)</x:f>
      </x:c>
      <x:c r="G74" s="13" t="str">
        <x:f>IF(A74="","",'納品入力_横型'!B14)</x:f>
      </x:c>
      <x:c r="H74" s="13" t="str">
        <x:f>IF(A74="","",F74*G74)</x:f>
      </x:c>
      <x:c r="I74" s="12" t="str">
        <x:f>IF(A74="","",INDEX('顧客別単価マスタ'!$E$4:$E$100,MATCH(1,('顧客別単価マスタ'!$A$4:$A$100='納品入力_横型'!$B$4)*('顧客別単価マスタ'!$C$4:$C$100=E74)*IF('顧客別単価マスタ'!$B$4:$B$100="",1,'顧客別単価マスタ'!$B$4:$B$100="S001"),0)))</x:f>
      </x:c>
      <x:c r="J74" s="12" t="str">
        <x:f>IF(A74="","","")</x:f>
      </x:c>
    </x:row>
    <x:row r="75">
      <x:c r="A75" s="12" t="str">
        <x:f>IF(OR('納品入力_横型'!N10="",'納品入力_横型'!N14=""),"",'納品入力_横型'!$E$3)</x:f>
      </x:c>
      <x:c r="B75" s="12" t="str">
        <x:f>IF(A75="","",'納品入力_横型'!$B$3)</x:f>
      </x:c>
      <x:c r="C75" s="12" t="str">
        <x:f>IF(A75="","","本店")</x:f>
      </x:c>
      <x:c r="D75" s="36" t="str">
        <x:f>IF(A75="","",'納品入力_横型'!N10)</x:f>
      </x:c>
      <x:c r="E75" s="12" t="str">
        <x:f>IF(A75="","",'納品入力_横型'!A14)</x:f>
      </x:c>
      <x:c r="F75" s="13" t="str">
        <x:f>IF(A75="","",'納品入力_横型'!N14)</x:f>
      </x:c>
      <x:c r="G75" s="13" t="str">
        <x:f>IF(A75="","",'納品入力_横型'!B14)</x:f>
      </x:c>
      <x:c r="H75" s="13" t="str">
        <x:f>IF(A75="","",F75*G75)</x:f>
      </x:c>
      <x:c r="I75" s="12" t="str">
        <x:f>IF(A75="","",INDEX('顧客別単価マスタ'!$E$4:$E$100,MATCH(1,('顧客別単価マスタ'!$A$4:$A$100='納品入力_横型'!$B$4)*('顧客別単価マスタ'!$C$4:$C$100=E75)*IF('顧客別単価マスタ'!$B$4:$B$100="",1,'顧客別単価マスタ'!$B$4:$B$100="S001"),0)))</x:f>
      </x:c>
      <x:c r="J75" s="12" t="str">
        <x:f>IF(A75="","","")</x:f>
      </x:c>
    </x:row>
    <x:row r="76">
      <x:c r="A76" s="12" t="str">
        <x:f>IF(OR('納品入力_横型'!O10="",'納品入力_横型'!O14=""),"",'納品入力_横型'!$E$3)</x:f>
      </x:c>
      <x:c r="B76" s="12" t="str">
        <x:f>IF(A76="","",'納品入力_横型'!$B$3)</x:f>
      </x:c>
      <x:c r="C76" s="12" t="str">
        <x:f>IF(A76="","","本店")</x:f>
      </x:c>
      <x:c r="D76" s="36" t="str">
        <x:f>IF(A76="","",'納品入力_横型'!O10)</x:f>
      </x:c>
      <x:c r="E76" s="12" t="str">
        <x:f>IF(A76="","",'納品入力_横型'!A14)</x:f>
      </x:c>
      <x:c r="F76" s="13" t="str">
        <x:f>IF(A76="","",'納品入力_横型'!O14)</x:f>
      </x:c>
      <x:c r="G76" s="13" t="str">
        <x:f>IF(A76="","",'納品入力_横型'!B14)</x:f>
      </x:c>
      <x:c r="H76" s="13" t="str">
        <x:f>IF(A76="","",F76*G76)</x:f>
      </x:c>
      <x:c r="I76" s="12" t="str">
        <x:f>IF(A76="","",INDEX('顧客別単価マスタ'!$E$4:$E$100,MATCH(1,('顧客別単価マスタ'!$A$4:$A$100='納品入力_横型'!$B$4)*('顧客別単価マスタ'!$C$4:$C$100=E76)*IF('顧客別単価マスタ'!$B$4:$B$100="",1,'顧客別単価マスタ'!$B$4:$B$100="S001"),0)))</x:f>
      </x:c>
      <x:c r="J76" s="12" t="str">
        <x:f>IF(A76="","","")</x:f>
      </x:c>
    </x:row>
    <x:row r="77">
      <x:c r="A77" s="12" t="str">
        <x:f>IF(OR('納品入力_横型'!P10="",'納品入力_横型'!P14=""),"",'納品入力_横型'!$E$3)</x:f>
      </x:c>
      <x:c r="B77" s="12" t="str">
        <x:f>IF(A77="","",'納品入力_横型'!$B$3)</x:f>
      </x:c>
      <x:c r="C77" s="12" t="str">
        <x:f>IF(A77="","","本店")</x:f>
      </x:c>
      <x:c r="D77" s="36" t="str">
        <x:f>IF(A77="","",'納品入力_横型'!P10)</x:f>
      </x:c>
      <x:c r="E77" s="12" t="str">
        <x:f>IF(A77="","",'納品入力_横型'!A14)</x:f>
      </x:c>
      <x:c r="F77" s="13" t="str">
        <x:f>IF(A77="","",'納品入力_横型'!P14)</x:f>
      </x:c>
      <x:c r="G77" s="13" t="str">
        <x:f>IF(A77="","",'納品入力_横型'!B14)</x:f>
      </x:c>
      <x:c r="H77" s="13" t="str">
        <x:f>IF(A77="","",F77*G77)</x:f>
      </x:c>
      <x:c r="I77" s="12" t="str">
        <x:f>IF(A77="","",INDEX('顧客別単価マスタ'!$E$4:$E$100,MATCH(1,('顧客別単価マスタ'!$A$4:$A$100='納品入力_横型'!$B$4)*('顧客別単価マスタ'!$C$4:$C$100=E77)*IF('顧客別単価マスタ'!$B$4:$B$100="",1,'顧客別単価マスタ'!$B$4:$B$100="S001"),0)))</x:f>
      </x:c>
      <x:c r="J77" s="12" t="str">
        <x:f>IF(A77="","","")</x:f>
      </x:c>
    </x:row>
    <x:row r="78">
      <x:c r="A78" s="12" t="str">
        <x:f>IF(OR('納品入力_横型'!Q10="",'納品入力_横型'!Q14=""),"",'納品入力_横型'!$E$3)</x:f>
      </x:c>
      <x:c r="B78" s="12" t="str">
        <x:f>IF(A78="","",'納品入力_横型'!$B$3)</x:f>
      </x:c>
      <x:c r="C78" s="12" t="str">
        <x:f>IF(A78="","","本店")</x:f>
      </x:c>
      <x:c r="D78" s="36" t="str">
        <x:f>IF(A78="","",'納品入力_横型'!Q10)</x:f>
      </x:c>
      <x:c r="E78" s="12" t="str">
        <x:f>IF(A78="","",'納品入力_横型'!A14)</x:f>
      </x:c>
      <x:c r="F78" s="13" t="str">
        <x:f>IF(A78="","",'納品入力_横型'!Q14)</x:f>
      </x:c>
      <x:c r="G78" s="13" t="str">
        <x:f>IF(A78="","",'納品入力_横型'!B14)</x:f>
      </x:c>
      <x:c r="H78" s="13" t="str">
        <x:f>IF(A78="","",F78*G78)</x:f>
      </x:c>
      <x:c r="I78" s="12" t="str">
        <x:f>IF(A78="","",INDEX('顧客別単価マスタ'!$E$4:$E$100,MATCH(1,('顧客別単価マスタ'!$A$4:$A$100='納品入力_横型'!$B$4)*('顧客別単価マスタ'!$C$4:$C$100=E78)*IF('顧客別単価マスタ'!$B$4:$B$100="",1,'顧客別単価マスタ'!$B$4:$B$100="S001"),0)))</x:f>
      </x:c>
      <x:c r="J78" s="12" t="str">
        <x:f>IF(A78="","","")</x:f>
      </x:c>
    </x:row>
    <x:row r="79">
      <x:c r="A79" s="12" t="str">
        <x:f>IF(OR('納品入力_横型'!R10="",'納品入力_横型'!R14=""),"",'納品入力_横型'!$E$3)</x:f>
      </x:c>
      <x:c r="B79" s="12" t="str">
        <x:f>IF(A79="","",'納品入力_横型'!$B$3)</x:f>
      </x:c>
      <x:c r="C79" s="12" t="str">
        <x:f>IF(A79="","","本店")</x:f>
      </x:c>
      <x:c r="D79" s="36" t="str">
        <x:f>IF(A79="","",'納品入力_横型'!R10)</x:f>
      </x:c>
      <x:c r="E79" s="12" t="str">
        <x:f>IF(A79="","",'納品入力_横型'!A14)</x:f>
      </x:c>
      <x:c r="F79" s="13" t="str">
        <x:f>IF(A79="","",'納品入力_横型'!R14)</x:f>
      </x:c>
      <x:c r="G79" s="13" t="str">
        <x:f>IF(A79="","",'納品入力_横型'!B14)</x:f>
      </x:c>
      <x:c r="H79" s="13" t="str">
        <x:f>IF(A79="","",F79*G79)</x:f>
      </x:c>
      <x:c r="I79" s="12" t="str">
        <x:f>IF(A79="","",INDEX('顧客別単価マスタ'!$E$4:$E$100,MATCH(1,('顧客別単価マスタ'!$A$4:$A$100='納品入力_横型'!$B$4)*('顧客別単価マスタ'!$C$4:$C$100=E79)*IF('顧客別単価マスタ'!$B$4:$B$100="",1,'顧客別単価マスタ'!$B$4:$B$100="S001"),0)))</x:f>
      </x:c>
      <x:c r="J79" s="12" t="str">
        <x:f>IF(A79="","","")</x:f>
      </x:c>
    </x:row>
    <x:row r="80">
      <x:c r="A80" s="12" t="str">
        <x:f>IF(OR('納品入力_横型'!S10="",'納品入力_横型'!S14=""),"",'納品入力_横型'!$E$3)</x:f>
      </x:c>
      <x:c r="B80" s="12" t="str">
        <x:f>IF(A80="","",'納品入力_横型'!$B$3)</x:f>
      </x:c>
      <x:c r="C80" s="12" t="str">
        <x:f>IF(A80="","","本店")</x:f>
      </x:c>
      <x:c r="D80" s="36" t="str">
        <x:f>IF(A80="","",'納品入力_横型'!S10)</x:f>
      </x:c>
      <x:c r="E80" s="12" t="str">
        <x:f>IF(A80="","",'納品入力_横型'!A14)</x:f>
      </x:c>
      <x:c r="F80" s="13" t="str">
        <x:f>IF(A80="","",'納品入力_横型'!S14)</x:f>
      </x:c>
      <x:c r="G80" s="13" t="str">
        <x:f>IF(A80="","",'納品入力_横型'!B14)</x:f>
      </x:c>
      <x:c r="H80" s="13" t="str">
        <x:f>IF(A80="","",F80*G80)</x:f>
      </x:c>
      <x:c r="I80" s="12" t="str">
        <x:f>IF(A80="","",INDEX('顧客別単価マスタ'!$E$4:$E$100,MATCH(1,('顧客別単価マスタ'!$A$4:$A$100='納品入力_横型'!$B$4)*('顧客別単価マスタ'!$C$4:$C$100=E80)*IF('顧客別単価マスタ'!$B$4:$B$100="",1,'顧客別単価マスタ'!$B$4:$B$100="S001"),0)))</x:f>
      </x:c>
      <x:c r="J80" s="12" t="str">
        <x:f>IF(A80="","","")</x:f>
      </x:c>
    </x:row>
    <x:row r="81">
      <x:c r="A81" s="12" t="str">
        <x:f>IF(OR('納品入力_横型'!T10="",'納品入力_横型'!T14=""),"",'納品入力_横型'!$E$3)</x:f>
      </x:c>
      <x:c r="B81" s="12" t="str">
        <x:f>IF(A81="","",'納品入力_横型'!$B$3)</x:f>
      </x:c>
      <x:c r="C81" s="12" t="str">
        <x:f>IF(A81="","","本店")</x:f>
      </x:c>
      <x:c r="D81" s="36" t="str">
        <x:f>IF(A81="","",'納品入力_横型'!T10)</x:f>
      </x:c>
      <x:c r="E81" s="12" t="str">
        <x:f>IF(A81="","",'納品入力_横型'!A14)</x:f>
      </x:c>
      <x:c r="F81" s="13" t="str">
        <x:f>IF(A81="","",'納品入力_横型'!T14)</x:f>
      </x:c>
      <x:c r="G81" s="13" t="str">
        <x:f>IF(A81="","",'納品入力_横型'!B14)</x:f>
      </x:c>
      <x:c r="H81" s="13" t="str">
        <x:f>IF(A81="","",F81*G81)</x:f>
      </x:c>
      <x:c r="I81" s="12" t="str">
        <x:f>IF(A81="","",INDEX('顧客別単価マスタ'!$E$4:$E$100,MATCH(1,('顧客別単価マスタ'!$A$4:$A$100='納品入力_横型'!$B$4)*('顧客別単価マスタ'!$C$4:$C$100=E81)*IF('顧客別単価マスタ'!$B$4:$B$100="",1,'顧客別単価マスタ'!$B$4:$B$100="S001"),0)))</x:f>
      </x:c>
      <x:c r="J81" s="12" t="str">
        <x:f>IF(A81="","","")</x:f>
      </x:c>
    </x:row>
    <x:row r="82">
      <x:c r="A82" s="12" t="str">
        <x:f>IF(OR('納品入力_横型'!U10="",'納品入力_横型'!U14=""),"",'納品入力_横型'!$E$3)</x:f>
      </x:c>
      <x:c r="B82" s="12" t="str">
        <x:f>IF(A82="","",'納品入力_横型'!$B$3)</x:f>
      </x:c>
      <x:c r="C82" s="12" t="str">
        <x:f>IF(A82="","","本店")</x:f>
      </x:c>
      <x:c r="D82" s="36" t="str">
        <x:f>IF(A82="","",'納品入力_横型'!U10)</x:f>
      </x:c>
      <x:c r="E82" s="12" t="str">
        <x:f>IF(A82="","",'納品入力_横型'!A14)</x:f>
      </x:c>
      <x:c r="F82" s="13" t="str">
        <x:f>IF(A82="","",'納品入力_横型'!U14)</x:f>
      </x:c>
      <x:c r="G82" s="13" t="str">
        <x:f>IF(A82="","",'納品入力_横型'!B14)</x:f>
      </x:c>
      <x:c r="H82" s="13" t="str">
        <x:f>IF(A82="","",F82*G82)</x:f>
      </x:c>
      <x:c r="I82" s="12" t="str">
        <x:f>IF(A82="","",INDEX('顧客別単価マスタ'!$E$4:$E$100,MATCH(1,('顧客別単価マスタ'!$A$4:$A$100='納品入力_横型'!$B$4)*('顧客別単価マスタ'!$C$4:$C$100=E82)*IF('顧客別単価マスタ'!$B$4:$B$100="",1,'顧客別単価マスタ'!$B$4:$B$100="S001"),0)))</x:f>
      </x:c>
      <x:c r="J82" s="12" t="str">
        <x:f>IF(A82="","","")</x:f>
      </x:c>
    </x:row>
    <x:row r="83">
      <x:c r="A83" s="12" t="str">
        <x:f>IF(OR('納品入力_横型'!V10="",'納品入力_横型'!V14=""),"",'納品入力_横型'!$E$3)</x:f>
      </x:c>
      <x:c r="B83" s="12" t="str">
        <x:f>IF(A83="","",'納品入力_横型'!$B$3)</x:f>
      </x:c>
      <x:c r="C83" s="12" t="str">
        <x:f>IF(A83="","","本店")</x:f>
      </x:c>
      <x:c r="D83" s="36" t="str">
        <x:f>IF(A83="","",'納品入力_横型'!V10)</x:f>
      </x:c>
      <x:c r="E83" s="12" t="str">
        <x:f>IF(A83="","",'納品入力_横型'!A14)</x:f>
      </x:c>
      <x:c r="F83" s="13" t="str">
        <x:f>IF(A83="","",'納品入力_横型'!V14)</x:f>
      </x:c>
      <x:c r="G83" s="13" t="str">
        <x:f>IF(A83="","",'納品入力_横型'!B14)</x:f>
      </x:c>
      <x:c r="H83" s="13" t="str">
        <x:f>IF(A83="","",F83*G83)</x:f>
      </x:c>
      <x:c r="I83" s="12" t="str">
        <x:f>IF(A83="","",INDEX('顧客別単価マスタ'!$E$4:$E$100,MATCH(1,('顧客別単価マスタ'!$A$4:$A$100='納品入力_横型'!$B$4)*('顧客別単価マスタ'!$C$4:$C$100=E83)*IF('顧客別単価マスタ'!$B$4:$B$100="",1,'顧客別単価マスタ'!$B$4:$B$100="S001"),0)))</x:f>
      </x:c>
      <x:c r="J83" s="12" t="str">
        <x:f>IF(A83="","","")</x:f>
      </x:c>
    </x:row>
    <x:row r="84">
      <x:c r="A84" s="12" t="str">
        <x:f>IF(OR('納品入力_横型'!C20="",'納品入力_横型'!C21=""),"",'納品入力_横型'!$E$3)</x:f>
        <x:v>2026年4月</x:v>
      </x:c>
      <x:c r="B84" s="12" t="str">
        <x:f>IF(A84="","",'納品入力_横型'!$B$3)</x:f>
        <x:v>〇〇株式会社</x:v>
      </x:c>
      <x:c r="C84" s="12" t="str">
        <x:f>IF(A84="","","駅前店")</x:f>
        <x:v>駅前店</x:v>
      </x:c>
      <x:c r="D84" s="36" t="n">
        <x:f>IF(A84="","",'納品入力_横型'!C20)</x:f>
        <x:v>46114</x:v>
      </x:c>
      <x:c r="E84" s="12" t="str">
        <x:f>IF(A84="","",'納品入力_横型'!A21)</x:f>
        <x:v>バスタオル</x:v>
      </x:c>
      <x:c r="F84" s="13" t="n">
        <x:f>IF(A84="","",'納品入力_横型'!C21)</x:f>
        <x:v>80</x:v>
      </x:c>
      <x:c r="G84" s="13" t="n">
        <x:f>IF(A84="","",'納品入力_横型'!B21)</x:f>
        <x:v>50</x:v>
      </x:c>
      <x:c r="H84" s="13" t="n">
        <x:f>IF(A84="","",F84*G84)</x:f>
        <x:v>4000</x:v>
      </x:c>
      <x:c r="I84" s="12" t="str">
        <x:f>IF(A84="","",INDEX('顧客別単価マスタ'!$E$4:$E$100,MATCH(1,('顧客別単価マスタ'!$A$4:$A$100='納品入力_横型'!$B$4)*('顧客別単価マスタ'!$C$4:$C$100=E84)*IF('顧客別単価マスタ'!$B$4:$B$100="",1,'顧客別単価マスタ'!$B$4:$B$100="S002"),0)))</x:f>
        <x:v>商品</x:v>
      </x:c>
      <x:c r="J84" s="12" t="str">
        <x:f>IF(A84="","","")</x:f>
      </x:c>
    </x:row>
    <x:row r="85">
      <x:c r="A85" s="12" t="str">
        <x:f>IF(OR('納品入力_横型'!D20="",'納品入力_横型'!D21=""),"",'納品入力_横型'!$E$3)</x:f>
        <x:v>2026年4月</x:v>
      </x:c>
      <x:c r="B85" s="12" t="str">
        <x:f>IF(A85="","",'納品入力_横型'!$B$3)</x:f>
        <x:v>〇〇株式会社</x:v>
      </x:c>
      <x:c r="C85" s="12" t="str">
        <x:f>IF(A85="","","駅前店")</x:f>
        <x:v>駅前店</x:v>
      </x:c>
      <x:c r="D85" s="36" t="n">
        <x:f>IF(A85="","",'納品入力_横型'!D20)</x:f>
        <x:v>46120</x:v>
      </x:c>
      <x:c r="E85" s="12" t="str">
        <x:f>IF(A85="","",'納品入力_横型'!A21)</x:f>
        <x:v>バスタオル</x:v>
      </x:c>
      <x:c r="F85" s="13" t="n">
        <x:f>IF(A85="","",'納品入力_横型'!D21)</x:f>
        <x:v>100</x:v>
      </x:c>
      <x:c r="G85" s="13" t="n">
        <x:f>IF(A85="","",'納品入力_横型'!B21)</x:f>
        <x:v>50</x:v>
      </x:c>
      <x:c r="H85" s="13" t="n">
        <x:f>IF(A85="","",F85*G85)</x:f>
        <x:v>5000</x:v>
      </x:c>
      <x:c r="I85" s="12" t="str">
        <x:f>IF(A85="","",INDEX('顧客別単価マスタ'!$E$4:$E$100,MATCH(1,('顧客別単価マスタ'!$A$4:$A$100='納品入力_横型'!$B$4)*('顧客別単価マスタ'!$C$4:$C$100=E85)*IF('顧客別単価マスタ'!$B$4:$B$100="",1,'顧客別単価マスタ'!$B$4:$B$100="S002"),0)))</x:f>
        <x:v>商品</x:v>
      </x:c>
      <x:c r="J85" s="12" t="str">
        <x:f>IF(A85="","","")</x:f>
      </x:c>
    </x:row>
    <x:row r="86">
      <x:c r="A86" s="12" t="str">
        <x:f>IF(OR('納品入力_横型'!E20="",'納品入力_横型'!E21=""),"",'納品入力_横型'!$E$3)</x:f>
      </x:c>
      <x:c r="B86" s="12" t="str">
        <x:f>IF(A86="","",'納品入力_横型'!$B$3)</x:f>
      </x:c>
      <x:c r="C86" s="12" t="str">
        <x:f>IF(A86="","","駅前店")</x:f>
      </x:c>
      <x:c r="D86" s="36" t="str">
        <x:f>IF(A86="","",'納品入力_横型'!E20)</x:f>
      </x:c>
      <x:c r="E86" s="12" t="str">
        <x:f>IF(A86="","",'納品入力_横型'!A21)</x:f>
      </x:c>
      <x:c r="F86" s="13" t="str">
        <x:f>IF(A86="","",'納品入力_横型'!E21)</x:f>
      </x:c>
      <x:c r="G86" s="13" t="str">
        <x:f>IF(A86="","",'納品入力_横型'!B21)</x:f>
      </x:c>
      <x:c r="H86" s="13" t="str">
        <x:f>IF(A86="","",F86*G86)</x:f>
      </x:c>
      <x:c r="I86" s="12" t="str">
        <x:f>IF(A86="","",INDEX('顧客別単価マスタ'!$E$4:$E$100,MATCH(1,('顧客別単価マスタ'!$A$4:$A$100='納品入力_横型'!$B$4)*('顧客別単価マスタ'!$C$4:$C$100=E86)*IF('顧客別単価マスタ'!$B$4:$B$100="",1,'顧客別単価マスタ'!$B$4:$B$100="S002"),0)))</x:f>
      </x:c>
      <x:c r="J86" s="12" t="str">
        <x:f>IF(A86="","","")</x:f>
      </x:c>
    </x:row>
    <x:row r="87">
      <x:c r="A87" s="12" t="str">
        <x:f>IF(OR('納品入力_横型'!F20="",'納品入力_横型'!F21=""),"",'納品入力_横型'!$E$3)</x:f>
      </x:c>
      <x:c r="B87" s="12" t="str">
        <x:f>IF(A87="","",'納品入力_横型'!$B$3)</x:f>
      </x:c>
      <x:c r="C87" s="12" t="str">
        <x:f>IF(A87="","","駅前店")</x:f>
      </x:c>
      <x:c r="D87" s="36" t="str">
        <x:f>IF(A87="","",'納品入力_横型'!F20)</x:f>
      </x:c>
      <x:c r="E87" s="12" t="str">
        <x:f>IF(A87="","",'納品入力_横型'!A21)</x:f>
      </x:c>
      <x:c r="F87" s="13" t="str">
        <x:f>IF(A87="","",'納品入力_横型'!F21)</x:f>
      </x:c>
      <x:c r="G87" s="13" t="str">
        <x:f>IF(A87="","",'納品入力_横型'!B21)</x:f>
      </x:c>
      <x:c r="H87" s="13" t="str">
        <x:f>IF(A87="","",F87*G87)</x:f>
      </x:c>
      <x:c r="I87" s="12" t="str">
        <x:f>IF(A87="","",INDEX('顧客別単価マスタ'!$E$4:$E$100,MATCH(1,('顧客別単価マスタ'!$A$4:$A$100='納品入力_横型'!$B$4)*('顧客別単価マスタ'!$C$4:$C$100=E87)*IF('顧客別単価マスタ'!$B$4:$B$100="",1,'顧客別単価マスタ'!$B$4:$B$100="S002"),0)))</x:f>
      </x:c>
      <x:c r="J87" s="12" t="str">
        <x:f>IF(A87="","","")</x:f>
      </x:c>
    </x:row>
    <x:row r="88">
      <x:c r="A88" s="12" t="str">
        <x:f>IF(OR('納品入力_横型'!G20="",'納品入力_横型'!G21=""),"",'納品入力_横型'!$E$3)</x:f>
      </x:c>
      <x:c r="B88" s="12" t="str">
        <x:f>IF(A88="","",'納品入力_横型'!$B$3)</x:f>
      </x:c>
      <x:c r="C88" s="12" t="str">
        <x:f>IF(A88="","","駅前店")</x:f>
      </x:c>
      <x:c r="D88" s="36" t="str">
        <x:f>IF(A88="","",'納品入力_横型'!G20)</x:f>
      </x:c>
      <x:c r="E88" s="12" t="str">
        <x:f>IF(A88="","",'納品入力_横型'!A21)</x:f>
      </x:c>
      <x:c r="F88" s="13" t="str">
        <x:f>IF(A88="","",'納品入力_横型'!G21)</x:f>
      </x:c>
      <x:c r="G88" s="13" t="str">
        <x:f>IF(A88="","",'納品入力_横型'!B21)</x:f>
      </x:c>
      <x:c r="H88" s="13" t="str">
        <x:f>IF(A88="","",F88*G88)</x:f>
      </x:c>
      <x:c r="I88" s="12" t="str">
        <x:f>IF(A88="","",INDEX('顧客別単価マスタ'!$E$4:$E$100,MATCH(1,('顧客別単価マスタ'!$A$4:$A$100='納品入力_横型'!$B$4)*('顧客別単価マスタ'!$C$4:$C$100=E88)*IF('顧客別単価マスタ'!$B$4:$B$100="",1,'顧客別単価マスタ'!$B$4:$B$100="S002"),0)))</x:f>
      </x:c>
      <x:c r="J88" s="12" t="str">
        <x:f>IF(A88="","","")</x:f>
      </x:c>
    </x:row>
    <x:row r="89">
      <x:c r="A89" s="12" t="str">
        <x:f>IF(OR('納品入力_横型'!H20="",'納品入力_横型'!H21=""),"",'納品入力_横型'!$E$3)</x:f>
      </x:c>
      <x:c r="B89" s="12" t="str">
        <x:f>IF(A89="","",'納品入力_横型'!$B$3)</x:f>
      </x:c>
      <x:c r="C89" s="12" t="str">
        <x:f>IF(A89="","","駅前店")</x:f>
      </x:c>
      <x:c r="D89" s="36" t="str">
        <x:f>IF(A89="","",'納品入力_横型'!H20)</x:f>
      </x:c>
      <x:c r="E89" s="12" t="str">
        <x:f>IF(A89="","",'納品入力_横型'!A21)</x:f>
      </x:c>
      <x:c r="F89" s="13" t="str">
        <x:f>IF(A89="","",'納品入力_横型'!H21)</x:f>
      </x:c>
      <x:c r="G89" s="13" t="str">
        <x:f>IF(A89="","",'納品入力_横型'!B21)</x:f>
      </x:c>
      <x:c r="H89" s="13" t="str">
        <x:f>IF(A89="","",F89*G89)</x:f>
      </x:c>
      <x:c r="I89" s="12" t="str">
        <x:f>IF(A89="","",INDEX('顧客別単価マスタ'!$E$4:$E$100,MATCH(1,('顧客別単価マスタ'!$A$4:$A$100='納品入力_横型'!$B$4)*('顧客別単価マスタ'!$C$4:$C$100=E89)*IF('顧客別単価マスタ'!$B$4:$B$100="",1,'顧客別単価マスタ'!$B$4:$B$100="S002"),0)))</x:f>
      </x:c>
      <x:c r="J89" s="12" t="str">
        <x:f>IF(A89="","","")</x:f>
      </x:c>
    </x:row>
    <x:row r="90">
      <x:c r="A90" s="12" t="str">
        <x:f>IF(OR('納品入力_横型'!I20="",'納品入力_横型'!I21=""),"",'納品入力_横型'!$E$3)</x:f>
      </x:c>
      <x:c r="B90" s="12" t="str">
        <x:f>IF(A90="","",'納品入力_横型'!$B$3)</x:f>
      </x:c>
      <x:c r="C90" s="12" t="str">
        <x:f>IF(A90="","","駅前店")</x:f>
      </x:c>
      <x:c r="D90" s="36" t="str">
        <x:f>IF(A90="","",'納品入力_横型'!I20)</x:f>
      </x:c>
      <x:c r="E90" s="12" t="str">
        <x:f>IF(A90="","",'納品入力_横型'!A21)</x:f>
      </x:c>
      <x:c r="F90" s="13" t="str">
        <x:f>IF(A90="","",'納品入力_横型'!I21)</x:f>
      </x:c>
      <x:c r="G90" s="13" t="str">
        <x:f>IF(A90="","",'納品入力_横型'!B21)</x:f>
      </x:c>
      <x:c r="H90" s="13" t="str">
        <x:f>IF(A90="","",F90*G90)</x:f>
      </x:c>
      <x:c r="I90" s="12" t="str">
        <x:f>IF(A90="","",INDEX('顧客別単価マスタ'!$E$4:$E$100,MATCH(1,('顧客別単価マスタ'!$A$4:$A$100='納品入力_横型'!$B$4)*('顧客別単価マスタ'!$C$4:$C$100=E90)*IF('顧客別単価マスタ'!$B$4:$B$100="",1,'顧客別単価マスタ'!$B$4:$B$100="S002"),0)))</x:f>
      </x:c>
      <x:c r="J90" s="12" t="str">
        <x:f>IF(A90="","","")</x:f>
      </x:c>
    </x:row>
    <x:row r="91">
      <x:c r="A91" s="12" t="str">
        <x:f>IF(OR('納品入力_横型'!J20="",'納品入力_横型'!J21=""),"",'納品入力_横型'!$E$3)</x:f>
      </x:c>
      <x:c r="B91" s="12" t="str">
        <x:f>IF(A91="","",'納品入力_横型'!$B$3)</x:f>
      </x:c>
      <x:c r="C91" s="12" t="str">
        <x:f>IF(A91="","","駅前店")</x:f>
      </x:c>
      <x:c r="D91" s="36" t="str">
        <x:f>IF(A91="","",'納品入力_横型'!J20)</x:f>
      </x:c>
      <x:c r="E91" s="12" t="str">
        <x:f>IF(A91="","",'納品入力_横型'!A21)</x:f>
      </x:c>
      <x:c r="F91" s="13" t="str">
        <x:f>IF(A91="","",'納品入力_横型'!J21)</x:f>
      </x:c>
      <x:c r="G91" s="13" t="str">
        <x:f>IF(A91="","",'納品入力_横型'!B21)</x:f>
      </x:c>
      <x:c r="H91" s="13" t="str">
        <x:f>IF(A91="","",F91*G91)</x:f>
      </x:c>
      <x:c r="I91" s="12" t="str">
        <x:f>IF(A91="","",INDEX('顧客別単価マスタ'!$E$4:$E$100,MATCH(1,('顧客別単価マスタ'!$A$4:$A$100='納品入力_横型'!$B$4)*('顧客別単価マスタ'!$C$4:$C$100=E91)*IF('顧客別単価マスタ'!$B$4:$B$100="",1,'顧客別単価マスタ'!$B$4:$B$100="S002"),0)))</x:f>
      </x:c>
      <x:c r="J91" s="12" t="str">
        <x:f>IF(A91="","","")</x:f>
      </x:c>
    </x:row>
    <x:row r="92">
      <x:c r="A92" s="12" t="str">
        <x:f>IF(OR('納品入力_横型'!K20="",'納品入力_横型'!K21=""),"",'納品入力_横型'!$E$3)</x:f>
      </x:c>
      <x:c r="B92" s="12" t="str">
        <x:f>IF(A92="","",'納品入力_横型'!$B$3)</x:f>
      </x:c>
      <x:c r="C92" s="12" t="str">
        <x:f>IF(A92="","","駅前店")</x:f>
      </x:c>
      <x:c r="D92" s="36" t="str">
        <x:f>IF(A92="","",'納品入力_横型'!K20)</x:f>
      </x:c>
      <x:c r="E92" s="12" t="str">
        <x:f>IF(A92="","",'納品入力_横型'!A21)</x:f>
      </x:c>
      <x:c r="F92" s="13" t="str">
        <x:f>IF(A92="","",'納品入力_横型'!K21)</x:f>
      </x:c>
      <x:c r="G92" s="13" t="str">
        <x:f>IF(A92="","",'納品入力_横型'!B21)</x:f>
      </x:c>
      <x:c r="H92" s="13" t="str">
        <x:f>IF(A92="","",F92*G92)</x:f>
      </x:c>
      <x:c r="I92" s="12" t="str">
        <x:f>IF(A92="","",INDEX('顧客別単価マスタ'!$E$4:$E$100,MATCH(1,('顧客別単価マスタ'!$A$4:$A$100='納品入力_横型'!$B$4)*('顧客別単価マスタ'!$C$4:$C$100=E92)*IF('顧客別単価マスタ'!$B$4:$B$100="",1,'顧客別単価マスタ'!$B$4:$B$100="S002"),0)))</x:f>
      </x:c>
      <x:c r="J92" s="12" t="str">
        <x:f>IF(A92="","","")</x:f>
      </x:c>
    </x:row>
    <x:row r="93">
      <x:c r="A93" s="12" t="str">
        <x:f>IF(OR('納品入力_横型'!L20="",'納品入力_横型'!L21=""),"",'納品入力_横型'!$E$3)</x:f>
      </x:c>
      <x:c r="B93" s="12" t="str">
        <x:f>IF(A93="","",'納品入力_横型'!$B$3)</x:f>
      </x:c>
      <x:c r="C93" s="12" t="str">
        <x:f>IF(A93="","","駅前店")</x:f>
      </x:c>
      <x:c r="D93" s="36" t="str">
        <x:f>IF(A93="","",'納品入力_横型'!L20)</x:f>
      </x:c>
      <x:c r="E93" s="12" t="str">
        <x:f>IF(A93="","",'納品入力_横型'!A21)</x:f>
      </x:c>
      <x:c r="F93" s="13" t="str">
        <x:f>IF(A93="","",'納品入力_横型'!L21)</x:f>
      </x:c>
      <x:c r="G93" s="13" t="str">
        <x:f>IF(A93="","",'納品入力_横型'!B21)</x:f>
      </x:c>
      <x:c r="H93" s="13" t="str">
        <x:f>IF(A93="","",F93*G93)</x:f>
      </x:c>
      <x:c r="I93" s="12" t="str">
        <x:f>IF(A93="","",INDEX('顧客別単価マスタ'!$E$4:$E$100,MATCH(1,('顧客別単価マスタ'!$A$4:$A$100='納品入力_横型'!$B$4)*('顧客別単価マスタ'!$C$4:$C$100=E93)*IF('顧客別単価マスタ'!$B$4:$B$100="",1,'顧客別単価マスタ'!$B$4:$B$100="S002"),0)))</x:f>
      </x:c>
      <x:c r="J93" s="12" t="str">
        <x:f>IF(A93="","","")</x:f>
      </x:c>
    </x:row>
    <x:row r="94">
      <x:c r="A94" s="12" t="str">
        <x:f>IF(OR('納品入力_横型'!M20="",'納品入力_横型'!M21=""),"",'納品入力_横型'!$E$3)</x:f>
      </x:c>
      <x:c r="B94" s="12" t="str">
        <x:f>IF(A94="","",'納品入力_横型'!$B$3)</x:f>
      </x:c>
      <x:c r="C94" s="12" t="str">
        <x:f>IF(A94="","","駅前店")</x:f>
      </x:c>
      <x:c r="D94" s="36" t="str">
        <x:f>IF(A94="","",'納品入力_横型'!M20)</x:f>
      </x:c>
      <x:c r="E94" s="12" t="str">
        <x:f>IF(A94="","",'納品入力_横型'!A21)</x:f>
      </x:c>
      <x:c r="F94" s="13" t="str">
        <x:f>IF(A94="","",'納品入力_横型'!M21)</x:f>
      </x:c>
      <x:c r="G94" s="13" t="str">
        <x:f>IF(A94="","",'納品入力_横型'!B21)</x:f>
      </x:c>
      <x:c r="H94" s="13" t="str">
        <x:f>IF(A94="","",F94*G94)</x:f>
      </x:c>
      <x:c r="I94" s="12" t="str">
        <x:f>IF(A94="","",INDEX('顧客別単価マスタ'!$E$4:$E$100,MATCH(1,('顧客別単価マスタ'!$A$4:$A$100='納品入力_横型'!$B$4)*('顧客別単価マスタ'!$C$4:$C$100=E94)*IF('顧客別単価マスタ'!$B$4:$B$100="",1,'顧客別単価マスタ'!$B$4:$B$100="S002"),0)))</x:f>
      </x:c>
      <x:c r="J94" s="12" t="str">
        <x:f>IF(A94="","","")</x:f>
      </x:c>
    </x:row>
    <x:row r="95">
      <x:c r="A95" s="12" t="str">
        <x:f>IF(OR('納品入力_横型'!N20="",'納品入力_横型'!N21=""),"",'納品入力_横型'!$E$3)</x:f>
      </x:c>
      <x:c r="B95" s="12" t="str">
        <x:f>IF(A95="","",'納品入力_横型'!$B$3)</x:f>
      </x:c>
      <x:c r="C95" s="12" t="str">
        <x:f>IF(A95="","","駅前店")</x:f>
      </x:c>
      <x:c r="D95" s="36" t="str">
        <x:f>IF(A95="","",'納品入力_横型'!N20)</x:f>
      </x:c>
      <x:c r="E95" s="12" t="str">
        <x:f>IF(A95="","",'納品入力_横型'!A21)</x:f>
      </x:c>
      <x:c r="F95" s="13" t="str">
        <x:f>IF(A95="","",'納品入力_横型'!N21)</x:f>
      </x:c>
      <x:c r="G95" s="13" t="str">
        <x:f>IF(A95="","",'納品入力_横型'!B21)</x:f>
      </x:c>
      <x:c r="H95" s="13" t="str">
        <x:f>IF(A95="","",F95*G95)</x:f>
      </x:c>
      <x:c r="I95" s="12" t="str">
        <x:f>IF(A95="","",INDEX('顧客別単価マスタ'!$E$4:$E$100,MATCH(1,('顧客別単価マスタ'!$A$4:$A$100='納品入力_横型'!$B$4)*('顧客別単価マスタ'!$C$4:$C$100=E95)*IF('顧客別単価マスタ'!$B$4:$B$100="",1,'顧客別単価マスタ'!$B$4:$B$100="S002"),0)))</x:f>
      </x:c>
      <x:c r="J95" s="12" t="str">
        <x:f>IF(A95="","","")</x:f>
      </x:c>
    </x:row>
    <x:row r="96">
      <x:c r="A96" s="12" t="str">
        <x:f>IF(OR('納品入力_横型'!O20="",'納品入力_横型'!O21=""),"",'納品入力_横型'!$E$3)</x:f>
      </x:c>
      <x:c r="B96" s="12" t="str">
        <x:f>IF(A96="","",'納品入力_横型'!$B$3)</x:f>
      </x:c>
      <x:c r="C96" s="12" t="str">
        <x:f>IF(A96="","","駅前店")</x:f>
      </x:c>
      <x:c r="D96" s="36" t="str">
        <x:f>IF(A96="","",'納品入力_横型'!O20)</x:f>
      </x:c>
      <x:c r="E96" s="12" t="str">
        <x:f>IF(A96="","",'納品入力_横型'!A21)</x:f>
      </x:c>
      <x:c r="F96" s="13" t="str">
        <x:f>IF(A96="","",'納品入力_横型'!O21)</x:f>
      </x:c>
      <x:c r="G96" s="13" t="str">
        <x:f>IF(A96="","",'納品入力_横型'!B21)</x:f>
      </x:c>
      <x:c r="H96" s="13" t="str">
        <x:f>IF(A96="","",F96*G96)</x:f>
      </x:c>
      <x:c r="I96" s="12" t="str">
        <x:f>IF(A96="","",INDEX('顧客別単価マスタ'!$E$4:$E$100,MATCH(1,('顧客別単価マスタ'!$A$4:$A$100='納品入力_横型'!$B$4)*('顧客別単価マスタ'!$C$4:$C$100=E96)*IF('顧客別単価マスタ'!$B$4:$B$100="",1,'顧客別単価マスタ'!$B$4:$B$100="S002"),0)))</x:f>
      </x:c>
      <x:c r="J96" s="12" t="str">
        <x:f>IF(A96="","","")</x:f>
      </x:c>
    </x:row>
    <x:row r="97">
      <x:c r="A97" s="12" t="str">
        <x:f>IF(OR('納品入力_横型'!P20="",'納品入力_横型'!P21=""),"",'納品入力_横型'!$E$3)</x:f>
      </x:c>
      <x:c r="B97" s="12" t="str">
        <x:f>IF(A97="","",'納品入力_横型'!$B$3)</x:f>
      </x:c>
      <x:c r="C97" s="12" t="str">
        <x:f>IF(A97="","","駅前店")</x:f>
      </x:c>
      <x:c r="D97" s="36" t="str">
        <x:f>IF(A97="","",'納品入力_横型'!P20)</x:f>
      </x:c>
      <x:c r="E97" s="12" t="str">
        <x:f>IF(A97="","",'納品入力_横型'!A21)</x:f>
      </x:c>
      <x:c r="F97" s="13" t="str">
        <x:f>IF(A97="","",'納品入力_横型'!P21)</x:f>
      </x:c>
      <x:c r="G97" s="13" t="str">
        <x:f>IF(A97="","",'納品入力_横型'!B21)</x:f>
      </x:c>
      <x:c r="H97" s="13" t="str">
        <x:f>IF(A97="","",F97*G97)</x:f>
      </x:c>
      <x:c r="I97" s="12" t="str">
        <x:f>IF(A97="","",INDEX('顧客別単価マスタ'!$E$4:$E$100,MATCH(1,('顧客別単価マスタ'!$A$4:$A$100='納品入力_横型'!$B$4)*('顧客別単価マスタ'!$C$4:$C$100=E97)*IF('顧客別単価マスタ'!$B$4:$B$100="",1,'顧客別単価マスタ'!$B$4:$B$100="S002"),0)))</x:f>
      </x:c>
      <x:c r="J97" s="12" t="str">
        <x:f>IF(A97="","","")</x:f>
      </x:c>
    </x:row>
    <x:row r="98">
      <x:c r="A98" s="12" t="str">
        <x:f>IF(OR('納品入力_横型'!Q20="",'納品入力_横型'!Q21=""),"",'納品入力_横型'!$E$3)</x:f>
      </x:c>
      <x:c r="B98" s="12" t="str">
        <x:f>IF(A98="","",'納品入力_横型'!$B$3)</x:f>
      </x:c>
      <x:c r="C98" s="12" t="str">
        <x:f>IF(A98="","","駅前店")</x:f>
      </x:c>
      <x:c r="D98" s="36" t="str">
        <x:f>IF(A98="","",'納品入力_横型'!Q20)</x:f>
      </x:c>
      <x:c r="E98" s="12" t="str">
        <x:f>IF(A98="","",'納品入力_横型'!A21)</x:f>
      </x:c>
      <x:c r="F98" s="13" t="str">
        <x:f>IF(A98="","",'納品入力_横型'!Q21)</x:f>
      </x:c>
      <x:c r="G98" s="13" t="str">
        <x:f>IF(A98="","",'納品入力_横型'!B21)</x:f>
      </x:c>
      <x:c r="H98" s="13" t="str">
        <x:f>IF(A98="","",F98*G98)</x:f>
      </x:c>
      <x:c r="I98" s="12" t="str">
        <x:f>IF(A98="","",INDEX('顧客別単価マスタ'!$E$4:$E$100,MATCH(1,('顧客別単価マスタ'!$A$4:$A$100='納品入力_横型'!$B$4)*('顧客別単価マスタ'!$C$4:$C$100=E98)*IF('顧客別単価マスタ'!$B$4:$B$100="",1,'顧客別単価マスタ'!$B$4:$B$100="S002"),0)))</x:f>
      </x:c>
      <x:c r="J98" s="12" t="str">
        <x:f>IF(A98="","","")</x:f>
      </x:c>
    </x:row>
    <x:row r="99">
      <x:c r="A99" s="12" t="str">
        <x:f>IF(OR('納品入力_横型'!R20="",'納品入力_横型'!R21=""),"",'納品入力_横型'!$E$3)</x:f>
      </x:c>
      <x:c r="B99" s="12" t="str">
        <x:f>IF(A99="","",'納品入力_横型'!$B$3)</x:f>
      </x:c>
      <x:c r="C99" s="12" t="str">
        <x:f>IF(A99="","","駅前店")</x:f>
      </x:c>
      <x:c r="D99" s="36" t="str">
        <x:f>IF(A99="","",'納品入力_横型'!R20)</x:f>
      </x:c>
      <x:c r="E99" s="12" t="str">
        <x:f>IF(A99="","",'納品入力_横型'!A21)</x:f>
      </x:c>
      <x:c r="F99" s="13" t="str">
        <x:f>IF(A99="","",'納品入力_横型'!R21)</x:f>
      </x:c>
      <x:c r="G99" s="13" t="str">
        <x:f>IF(A99="","",'納品入力_横型'!B21)</x:f>
      </x:c>
      <x:c r="H99" s="13" t="str">
        <x:f>IF(A99="","",F99*G99)</x:f>
      </x:c>
      <x:c r="I99" s="12" t="str">
        <x:f>IF(A99="","",INDEX('顧客別単価マスタ'!$E$4:$E$100,MATCH(1,('顧客別単価マスタ'!$A$4:$A$100='納品入力_横型'!$B$4)*('顧客別単価マスタ'!$C$4:$C$100=E99)*IF('顧客別単価マスタ'!$B$4:$B$100="",1,'顧客別単価マスタ'!$B$4:$B$100="S002"),0)))</x:f>
      </x:c>
      <x:c r="J99" s="12" t="str">
        <x:f>IF(A99="","","")</x:f>
      </x:c>
    </x:row>
    <x:row r="100">
      <x:c r="A100" s="12" t="str">
        <x:f>IF(OR('納品入力_横型'!S20="",'納品入力_横型'!S21=""),"",'納品入力_横型'!$E$3)</x:f>
      </x:c>
      <x:c r="B100" s="12" t="str">
        <x:f>IF(A100="","",'納品入力_横型'!$B$3)</x:f>
      </x:c>
      <x:c r="C100" s="12" t="str">
        <x:f>IF(A100="","","駅前店")</x:f>
      </x:c>
      <x:c r="D100" s="36" t="str">
        <x:f>IF(A100="","",'納品入力_横型'!S20)</x:f>
      </x:c>
      <x:c r="E100" s="12" t="str">
        <x:f>IF(A100="","",'納品入力_横型'!A21)</x:f>
      </x:c>
      <x:c r="F100" s="13" t="str">
        <x:f>IF(A100="","",'納品入力_横型'!S21)</x:f>
      </x:c>
      <x:c r="G100" s="13" t="str">
        <x:f>IF(A100="","",'納品入力_横型'!B21)</x:f>
      </x:c>
      <x:c r="H100" s="13" t="str">
        <x:f>IF(A100="","",F100*G100)</x:f>
      </x:c>
      <x:c r="I100" s="12" t="str">
        <x:f>IF(A100="","",INDEX('顧客別単価マスタ'!$E$4:$E$100,MATCH(1,('顧客別単価マスタ'!$A$4:$A$100='納品入力_横型'!$B$4)*('顧客別単価マスタ'!$C$4:$C$100=E100)*IF('顧客別単価マスタ'!$B$4:$B$100="",1,'顧客別単価マスタ'!$B$4:$B$100="S002"),0)))</x:f>
      </x:c>
      <x:c r="J100" s="12" t="str">
        <x:f>IF(A100="","","")</x:f>
      </x:c>
    </x:row>
    <x:row r="101">
      <x:c r="A101" s="12" t="str">
        <x:f>IF(OR('納品入力_横型'!T20="",'納品入力_横型'!T21=""),"",'納品入力_横型'!$E$3)</x:f>
      </x:c>
      <x:c r="B101" s="12" t="str">
        <x:f>IF(A101="","",'納品入力_横型'!$B$3)</x:f>
      </x:c>
      <x:c r="C101" s="12" t="str">
        <x:f>IF(A101="","","駅前店")</x:f>
      </x:c>
      <x:c r="D101" s="36" t="str">
        <x:f>IF(A101="","",'納品入力_横型'!T20)</x:f>
      </x:c>
      <x:c r="E101" s="12" t="str">
        <x:f>IF(A101="","",'納品入力_横型'!A21)</x:f>
      </x:c>
      <x:c r="F101" s="13" t="str">
        <x:f>IF(A101="","",'納品入力_横型'!T21)</x:f>
      </x:c>
      <x:c r="G101" s="13" t="str">
        <x:f>IF(A101="","",'納品入力_横型'!B21)</x:f>
      </x:c>
      <x:c r="H101" s="13" t="str">
        <x:f>IF(A101="","",F101*G101)</x:f>
      </x:c>
      <x:c r="I101" s="12" t="str">
        <x:f>IF(A101="","",INDEX('顧客別単価マスタ'!$E$4:$E$100,MATCH(1,('顧客別単価マスタ'!$A$4:$A$100='納品入力_横型'!$B$4)*('顧客別単価マスタ'!$C$4:$C$100=E101)*IF('顧客別単価マスタ'!$B$4:$B$100="",1,'顧客別単価マスタ'!$B$4:$B$100="S002"),0)))</x:f>
      </x:c>
      <x:c r="J101" s="12" t="str">
        <x:f>IF(A101="","","")</x:f>
      </x:c>
    </x:row>
    <x:row r="102">
      <x:c r="A102" s="12" t="str">
        <x:f>IF(OR('納品入力_横型'!U20="",'納品入力_横型'!U21=""),"",'納品入力_横型'!$E$3)</x:f>
      </x:c>
      <x:c r="B102" s="12" t="str">
        <x:f>IF(A102="","",'納品入力_横型'!$B$3)</x:f>
      </x:c>
      <x:c r="C102" s="12" t="str">
        <x:f>IF(A102="","","駅前店")</x:f>
      </x:c>
      <x:c r="D102" s="36" t="str">
        <x:f>IF(A102="","",'納品入力_横型'!U20)</x:f>
      </x:c>
      <x:c r="E102" s="12" t="str">
        <x:f>IF(A102="","",'納品入力_横型'!A21)</x:f>
      </x:c>
      <x:c r="F102" s="13" t="str">
        <x:f>IF(A102="","",'納品入力_横型'!U21)</x:f>
      </x:c>
      <x:c r="G102" s="13" t="str">
        <x:f>IF(A102="","",'納品入力_横型'!B21)</x:f>
      </x:c>
      <x:c r="H102" s="13" t="str">
        <x:f>IF(A102="","",F102*G102)</x:f>
      </x:c>
      <x:c r="I102" s="12" t="str">
        <x:f>IF(A102="","",INDEX('顧客別単価マスタ'!$E$4:$E$100,MATCH(1,('顧客別単価マスタ'!$A$4:$A$100='納品入力_横型'!$B$4)*('顧客別単価マスタ'!$C$4:$C$100=E102)*IF('顧客別単価マスタ'!$B$4:$B$100="",1,'顧客別単価マスタ'!$B$4:$B$100="S002"),0)))</x:f>
      </x:c>
      <x:c r="J102" s="12" t="str">
        <x:f>IF(A102="","","")</x:f>
      </x:c>
    </x:row>
    <x:row r="103">
      <x:c r="A103" s="12" t="str">
        <x:f>IF(OR('納品入力_横型'!V20="",'納品入力_横型'!V21=""),"",'納品入力_横型'!$E$3)</x:f>
      </x:c>
      <x:c r="B103" s="12" t="str">
        <x:f>IF(A103="","",'納品入力_横型'!$B$3)</x:f>
      </x:c>
      <x:c r="C103" s="12" t="str">
        <x:f>IF(A103="","","駅前店")</x:f>
      </x:c>
      <x:c r="D103" s="36" t="str">
        <x:f>IF(A103="","",'納品入力_横型'!V20)</x:f>
      </x:c>
      <x:c r="E103" s="12" t="str">
        <x:f>IF(A103="","",'納品入力_横型'!A21)</x:f>
      </x:c>
      <x:c r="F103" s="13" t="str">
        <x:f>IF(A103="","",'納品入力_横型'!V21)</x:f>
      </x:c>
      <x:c r="G103" s="13" t="str">
        <x:f>IF(A103="","",'納品入力_横型'!B21)</x:f>
      </x:c>
      <x:c r="H103" s="13" t="str">
        <x:f>IF(A103="","",F103*G103)</x:f>
      </x:c>
      <x:c r="I103" s="12" t="str">
        <x:f>IF(A103="","",INDEX('顧客別単価マスタ'!$E$4:$E$100,MATCH(1,('顧客別単価マスタ'!$A$4:$A$100='納品入力_横型'!$B$4)*('顧客別単価マスタ'!$C$4:$C$100=E103)*IF('顧客別単価マスタ'!$B$4:$B$100="",1,'顧客別単価マスタ'!$B$4:$B$100="S002"),0)))</x:f>
      </x:c>
      <x:c r="J103" s="12" t="str">
        <x:f>IF(A103="","","")</x:f>
      </x:c>
    </x:row>
    <x:row r="104">
      <x:c r="A104" s="12" t="str">
        <x:f>IF(OR('納品入力_横型'!C20="",'納品入力_横型'!C22=""),"",'納品入力_横型'!$E$3)</x:f>
        <x:v>2026年4月</x:v>
      </x:c>
      <x:c r="B104" s="12" t="str">
        <x:f>IF(A104="","",'納品入力_横型'!$B$3)</x:f>
        <x:v>〇〇株式会社</x:v>
      </x:c>
      <x:c r="C104" s="12" t="str">
        <x:f>IF(A104="","","駅前店")</x:f>
        <x:v>駅前店</x:v>
      </x:c>
      <x:c r="D104" s="36" t="n">
        <x:f>IF(A104="","",'納品入力_横型'!C20)</x:f>
        <x:v>46114</x:v>
      </x:c>
      <x:c r="E104" s="12" t="str">
        <x:f>IF(A104="","",'納品入力_横型'!A22)</x:f>
        <x:v>フェイスタオル</x:v>
      </x:c>
      <x:c r="F104" s="13" t="n">
        <x:f>IF(A104="","",'納品入力_横型'!C22)</x:f>
        <x:v>100</x:v>
      </x:c>
      <x:c r="G104" s="13" t="n">
        <x:f>IF(A104="","",'納品入力_横型'!B22)</x:f>
        <x:v>10</x:v>
      </x:c>
      <x:c r="H104" s="13" t="n">
        <x:f>IF(A104="","",F104*G104)</x:f>
        <x:v>1000</x:v>
      </x:c>
      <x:c r="I104" s="12" t="str">
        <x:f>IF(A104="","",INDEX('顧客別単価マスタ'!$E$4:$E$100,MATCH(1,('顧客別単価マスタ'!$A$4:$A$100='納品入力_横型'!$B$4)*('顧客別単価マスタ'!$C$4:$C$100=E104)*IF('顧客別単価マスタ'!$B$4:$B$100="",1,'顧客別単価マスタ'!$B$4:$B$100="S002"),0)))</x:f>
        <x:v>商品</x:v>
      </x:c>
      <x:c r="J104" s="12" t="str">
        <x:f>IF(A104="","","")</x:f>
      </x:c>
    </x:row>
    <x:row r="105">
      <x:c r="A105" s="12" t="str">
        <x:f>IF(OR('納品入力_横型'!D20="",'納品入力_横型'!D22=""),"",'納品入力_横型'!$E$3)</x:f>
        <x:v>2026年4月</x:v>
      </x:c>
      <x:c r="B105" s="12" t="str">
        <x:f>IF(A105="","",'納品入力_横型'!$B$3)</x:f>
        <x:v>〇〇株式会社</x:v>
      </x:c>
      <x:c r="C105" s="12" t="str">
        <x:f>IF(A105="","","駅前店")</x:f>
        <x:v>駅前店</x:v>
      </x:c>
      <x:c r="D105" s="36" t="n">
        <x:f>IF(A105="","",'納品入力_横型'!D20)</x:f>
        <x:v>46120</x:v>
      </x:c>
      <x:c r="E105" s="12" t="str">
        <x:f>IF(A105="","",'納品入力_横型'!A22)</x:f>
        <x:v>フェイスタオル</x:v>
      </x:c>
      <x:c r="F105" s="13" t="n">
        <x:f>IF(A105="","",'納品入力_横型'!D22)</x:f>
        <x:v>100</x:v>
      </x:c>
      <x:c r="G105" s="13" t="n">
        <x:f>IF(A105="","",'納品入力_横型'!B22)</x:f>
        <x:v>10</x:v>
      </x:c>
      <x:c r="H105" s="13" t="n">
        <x:f>IF(A105="","",F105*G105)</x:f>
        <x:v>1000</x:v>
      </x:c>
      <x:c r="I105" s="12" t="str">
        <x:f>IF(A105="","",INDEX('顧客別単価マスタ'!$E$4:$E$100,MATCH(1,('顧客別単価マスタ'!$A$4:$A$100='納品入力_横型'!$B$4)*('顧客別単価マスタ'!$C$4:$C$100=E105)*IF('顧客別単価マスタ'!$B$4:$B$100="",1,'顧客別単価マスタ'!$B$4:$B$100="S002"),0)))</x:f>
        <x:v>商品</x:v>
      </x:c>
      <x:c r="J105" s="12" t="str">
        <x:f>IF(A105="","","")</x:f>
      </x:c>
    </x:row>
    <x:row r="106">
      <x:c r="A106" s="12" t="str">
        <x:f>IF(OR('納品入力_横型'!E20="",'納品入力_横型'!E22=""),"",'納品入力_横型'!$E$3)</x:f>
        <x:v>2026年4月</x:v>
      </x:c>
      <x:c r="B106" s="12" t="str">
        <x:f>IF(A106="","",'納品入力_横型'!$B$3)</x:f>
        <x:v>〇〇株式会社</x:v>
      </x:c>
      <x:c r="C106" s="12" t="str">
        <x:f>IF(A106="","","駅前店")</x:f>
        <x:v>駅前店</x:v>
      </x:c>
      <x:c r="D106" s="36" t="n">
        <x:f>IF(A106="","",'納品入力_横型'!E20)</x:f>
        <x:v>46128</x:v>
      </x:c>
      <x:c r="E106" s="12" t="str">
        <x:f>IF(A106="","",'納品入力_横型'!A22)</x:f>
        <x:v>フェイスタオル</x:v>
      </x:c>
      <x:c r="F106" s="13" t="n">
        <x:f>IF(A106="","",'納品入力_横型'!E22)</x:f>
        <x:v>100</x:v>
      </x:c>
      <x:c r="G106" s="13" t="n">
        <x:f>IF(A106="","",'納品入力_横型'!B22)</x:f>
        <x:v>10</x:v>
      </x:c>
      <x:c r="H106" s="13" t="n">
        <x:f>IF(A106="","",F106*G106)</x:f>
        <x:v>1000</x:v>
      </x:c>
      <x:c r="I106" s="12" t="str">
        <x:f>IF(A106="","",INDEX('顧客別単価マスタ'!$E$4:$E$100,MATCH(1,('顧客別単価マスタ'!$A$4:$A$100='納品入力_横型'!$B$4)*('顧客別単価マスタ'!$C$4:$C$100=E106)*IF('顧客別単価マスタ'!$B$4:$B$100="",1,'顧客別単価マスタ'!$B$4:$B$100="S002"),0)))</x:f>
        <x:v>商品</x:v>
      </x:c>
      <x:c r="J106" s="12" t="str">
        <x:f>IF(A106="","","")</x:f>
      </x:c>
    </x:row>
    <x:row r="107">
      <x:c r="A107" s="12" t="str">
        <x:f>IF(OR('納品入力_横型'!F20="",'納品入力_横型'!F22=""),"",'納品入力_横型'!$E$3)</x:f>
      </x:c>
      <x:c r="B107" s="12" t="str">
        <x:f>IF(A107="","",'納品入力_横型'!$B$3)</x:f>
      </x:c>
      <x:c r="C107" s="12" t="str">
        <x:f>IF(A107="","","駅前店")</x:f>
      </x:c>
      <x:c r="D107" s="36" t="str">
        <x:f>IF(A107="","",'納品入力_横型'!F20)</x:f>
      </x:c>
      <x:c r="E107" s="12" t="str">
        <x:f>IF(A107="","",'納品入力_横型'!A22)</x:f>
      </x:c>
      <x:c r="F107" s="13" t="str">
        <x:f>IF(A107="","",'納品入力_横型'!F22)</x:f>
      </x:c>
      <x:c r="G107" s="13" t="str">
        <x:f>IF(A107="","",'納品入力_横型'!B22)</x:f>
      </x:c>
      <x:c r="H107" s="13" t="str">
        <x:f>IF(A107="","",F107*G107)</x:f>
      </x:c>
      <x:c r="I107" s="12" t="str">
        <x:f>IF(A107="","",INDEX('顧客別単価マスタ'!$E$4:$E$100,MATCH(1,('顧客別単価マスタ'!$A$4:$A$100='納品入力_横型'!$B$4)*('顧客別単価マスタ'!$C$4:$C$100=E107)*IF('顧客別単価マスタ'!$B$4:$B$100="",1,'顧客別単価マスタ'!$B$4:$B$100="S002"),0)))</x:f>
      </x:c>
      <x:c r="J107" s="12" t="str">
        <x:f>IF(A107="","","")</x:f>
      </x:c>
    </x:row>
    <x:row r="108">
      <x:c r="A108" s="12" t="str">
        <x:f>IF(OR('納品入力_横型'!G20="",'納品入力_横型'!G22=""),"",'納品入力_横型'!$E$3)</x:f>
      </x:c>
      <x:c r="B108" s="12" t="str">
        <x:f>IF(A108="","",'納品入力_横型'!$B$3)</x:f>
      </x:c>
      <x:c r="C108" s="12" t="str">
        <x:f>IF(A108="","","駅前店")</x:f>
      </x:c>
      <x:c r="D108" s="36" t="str">
        <x:f>IF(A108="","",'納品入力_横型'!G20)</x:f>
      </x:c>
      <x:c r="E108" s="12" t="str">
        <x:f>IF(A108="","",'納品入力_横型'!A22)</x:f>
      </x:c>
      <x:c r="F108" s="13" t="str">
        <x:f>IF(A108="","",'納品入力_横型'!G22)</x:f>
      </x:c>
      <x:c r="G108" s="13" t="str">
        <x:f>IF(A108="","",'納品入力_横型'!B22)</x:f>
      </x:c>
      <x:c r="H108" s="13" t="str">
        <x:f>IF(A108="","",F108*G108)</x:f>
      </x:c>
      <x:c r="I108" s="12" t="str">
        <x:f>IF(A108="","",INDEX('顧客別単価マスタ'!$E$4:$E$100,MATCH(1,('顧客別単価マスタ'!$A$4:$A$100='納品入力_横型'!$B$4)*('顧客別単価マスタ'!$C$4:$C$100=E108)*IF('顧客別単価マスタ'!$B$4:$B$100="",1,'顧客別単価マスタ'!$B$4:$B$100="S002"),0)))</x:f>
      </x:c>
      <x:c r="J108" s="12" t="str">
        <x:f>IF(A108="","","")</x:f>
      </x:c>
    </x:row>
    <x:row r="109">
      <x:c r="A109" s="12" t="str">
        <x:f>IF(OR('納品入力_横型'!H20="",'納品入力_横型'!H22=""),"",'納品入力_横型'!$E$3)</x:f>
      </x:c>
      <x:c r="B109" s="12" t="str">
        <x:f>IF(A109="","",'納品入力_横型'!$B$3)</x:f>
      </x:c>
      <x:c r="C109" s="12" t="str">
        <x:f>IF(A109="","","駅前店")</x:f>
      </x:c>
      <x:c r="D109" s="36" t="str">
        <x:f>IF(A109="","",'納品入力_横型'!H20)</x:f>
      </x:c>
      <x:c r="E109" s="12" t="str">
        <x:f>IF(A109="","",'納品入力_横型'!A22)</x:f>
      </x:c>
      <x:c r="F109" s="13" t="str">
        <x:f>IF(A109="","",'納品入力_横型'!H22)</x:f>
      </x:c>
      <x:c r="G109" s="13" t="str">
        <x:f>IF(A109="","",'納品入力_横型'!B22)</x:f>
      </x:c>
      <x:c r="H109" s="13" t="str">
        <x:f>IF(A109="","",F109*G109)</x:f>
      </x:c>
      <x:c r="I109" s="12" t="str">
        <x:f>IF(A109="","",INDEX('顧客別単価マスタ'!$E$4:$E$100,MATCH(1,('顧客別単価マスタ'!$A$4:$A$100='納品入力_横型'!$B$4)*('顧客別単価マスタ'!$C$4:$C$100=E109)*IF('顧客別単価マスタ'!$B$4:$B$100="",1,'顧客別単価マスタ'!$B$4:$B$100="S002"),0)))</x:f>
      </x:c>
      <x:c r="J109" s="12" t="str">
        <x:f>IF(A109="","","")</x:f>
      </x:c>
    </x:row>
    <x:row r="110">
      <x:c r="A110" s="12" t="str">
        <x:f>IF(OR('納品入力_横型'!I20="",'納品入力_横型'!I22=""),"",'納品入力_横型'!$E$3)</x:f>
      </x:c>
      <x:c r="B110" s="12" t="str">
        <x:f>IF(A110="","",'納品入力_横型'!$B$3)</x:f>
      </x:c>
      <x:c r="C110" s="12" t="str">
        <x:f>IF(A110="","","駅前店")</x:f>
      </x:c>
      <x:c r="D110" s="36" t="str">
        <x:f>IF(A110="","",'納品入力_横型'!I20)</x:f>
      </x:c>
      <x:c r="E110" s="12" t="str">
        <x:f>IF(A110="","",'納品入力_横型'!A22)</x:f>
      </x:c>
      <x:c r="F110" s="13" t="str">
        <x:f>IF(A110="","",'納品入力_横型'!I22)</x:f>
      </x:c>
      <x:c r="G110" s="13" t="str">
        <x:f>IF(A110="","",'納品入力_横型'!B22)</x:f>
      </x:c>
      <x:c r="H110" s="13" t="str">
        <x:f>IF(A110="","",F110*G110)</x:f>
      </x:c>
      <x:c r="I110" s="12" t="str">
        <x:f>IF(A110="","",INDEX('顧客別単価マスタ'!$E$4:$E$100,MATCH(1,('顧客別単価マスタ'!$A$4:$A$100='納品入力_横型'!$B$4)*('顧客別単価マスタ'!$C$4:$C$100=E110)*IF('顧客別単価マスタ'!$B$4:$B$100="",1,'顧客別単価マスタ'!$B$4:$B$100="S002"),0)))</x:f>
      </x:c>
      <x:c r="J110" s="12" t="str">
        <x:f>IF(A110="","","")</x:f>
      </x:c>
    </x:row>
    <x:row r="111">
      <x:c r="A111" s="12" t="str">
        <x:f>IF(OR('納品入力_横型'!J20="",'納品入力_横型'!J22=""),"",'納品入力_横型'!$E$3)</x:f>
      </x:c>
      <x:c r="B111" s="12" t="str">
        <x:f>IF(A111="","",'納品入力_横型'!$B$3)</x:f>
      </x:c>
      <x:c r="C111" s="12" t="str">
        <x:f>IF(A111="","","駅前店")</x:f>
      </x:c>
      <x:c r="D111" s="36" t="str">
        <x:f>IF(A111="","",'納品入力_横型'!J20)</x:f>
      </x:c>
      <x:c r="E111" s="12" t="str">
        <x:f>IF(A111="","",'納品入力_横型'!A22)</x:f>
      </x:c>
      <x:c r="F111" s="13" t="str">
        <x:f>IF(A111="","",'納品入力_横型'!J22)</x:f>
      </x:c>
      <x:c r="G111" s="13" t="str">
        <x:f>IF(A111="","",'納品入力_横型'!B22)</x:f>
      </x:c>
      <x:c r="H111" s="13" t="str">
        <x:f>IF(A111="","",F111*G111)</x:f>
      </x:c>
      <x:c r="I111" s="12" t="str">
        <x:f>IF(A111="","",INDEX('顧客別単価マスタ'!$E$4:$E$100,MATCH(1,('顧客別単価マスタ'!$A$4:$A$100='納品入力_横型'!$B$4)*('顧客別単価マスタ'!$C$4:$C$100=E111)*IF('顧客別単価マスタ'!$B$4:$B$100="",1,'顧客別単価マスタ'!$B$4:$B$100="S002"),0)))</x:f>
      </x:c>
      <x:c r="J111" s="12" t="str">
        <x:f>IF(A111="","","")</x:f>
      </x:c>
    </x:row>
    <x:row r="112">
      <x:c r="A112" s="12" t="str">
        <x:f>IF(OR('納品入力_横型'!K20="",'納品入力_横型'!K22=""),"",'納品入力_横型'!$E$3)</x:f>
      </x:c>
      <x:c r="B112" s="12" t="str">
        <x:f>IF(A112="","",'納品入力_横型'!$B$3)</x:f>
      </x:c>
      <x:c r="C112" s="12" t="str">
        <x:f>IF(A112="","","駅前店")</x:f>
      </x:c>
      <x:c r="D112" s="36" t="str">
        <x:f>IF(A112="","",'納品入力_横型'!K20)</x:f>
      </x:c>
      <x:c r="E112" s="12" t="str">
        <x:f>IF(A112="","",'納品入力_横型'!A22)</x:f>
      </x:c>
      <x:c r="F112" s="13" t="str">
        <x:f>IF(A112="","",'納品入力_横型'!K22)</x:f>
      </x:c>
      <x:c r="G112" s="13" t="str">
        <x:f>IF(A112="","",'納品入力_横型'!B22)</x:f>
      </x:c>
      <x:c r="H112" s="13" t="str">
        <x:f>IF(A112="","",F112*G112)</x:f>
      </x:c>
      <x:c r="I112" s="12" t="str">
        <x:f>IF(A112="","",INDEX('顧客別単価マスタ'!$E$4:$E$100,MATCH(1,('顧客別単価マスタ'!$A$4:$A$100='納品入力_横型'!$B$4)*('顧客別単価マスタ'!$C$4:$C$100=E112)*IF('顧客別単価マスタ'!$B$4:$B$100="",1,'顧客別単価マスタ'!$B$4:$B$100="S002"),0)))</x:f>
      </x:c>
      <x:c r="J112" s="12" t="str">
        <x:f>IF(A112="","","")</x:f>
      </x:c>
    </x:row>
    <x:row r="113">
      <x:c r="A113" s="12" t="str">
        <x:f>IF(OR('納品入力_横型'!L20="",'納品入力_横型'!L22=""),"",'納品入力_横型'!$E$3)</x:f>
      </x:c>
      <x:c r="B113" s="12" t="str">
        <x:f>IF(A113="","",'納品入力_横型'!$B$3)</x:f>
      </x:c>
      <x:c r="C113" s="12" t="str">
        <x:f>IF(A113="","","駅前店")</x:f>
      </x:c>
      <x:c r="D113" s="36" t="str">
        <x:f>IF(A113="","",'納品入力_横型'!L20)</x:f>
      </x:c>
      <x:c r="E113" s="12" t="str">
        <x:f>IF(A113="","",'納品入力_横型'!A22)</x:f>
      </x:c>
      <x:c r="F113" s="13" t="str">
        <x:f>IF(A113="","",'納品入力_横型'!L22)</x:f>
      </x:c>
      <x:c r="G113" s="13" t="str">
        <x:f>IF(A113="","",'納品入力_横型'!B22)</x:f>
      </x:c>
      <x:c r="H113" s="13" t="str">
        <x:f>IF(A113="","",F113*G113)</x:f>
      </x:c>
      <x:c r="I113" s="12" t="str">
        <x:f>IF(A113="","",INDEX('顧客別単価マスタ'!$E$4:$E$100,MATCH(1,('顧客別単価マスタ'!$A$4:$A$100='納品入力_横型'!$B$4)*('顧客別単価マスタ'!$C$4:$C$100=E113)*IF('顧客別単価マスタ'!$B$4:$B$100="",1,'顧客別単価マスタ'!$B$4:$B$100="S002"),0)))</x:f>
      </x:c>
      <x:c r="J113" s="12" t="str">
        <x:f>IF(A113="","","")</x:f>
      </x:c>
    </x:row>
    <x:row r="114">
      <x:c r="A114" s="12" t="str">
        <x:f>IF(OR('納品入力_横型'!M20="",'納品入力_横型'!M22=""),"",'納品入力_横型'!$E$3)</x:f>
      </x:c>
      <x:c r="B114" s="12" t="str">
        <x:f>IF(A114="","",'納品入力_横型'!$B$3)</x:f>
      </x:c>
      <x:c r="C114" s="12" t="str">
        <x:f>IF(A114="","","駅前店")</x:f>
      </x:c>
      <x:c r="D114" s="36" t="str">
        <x:f>IF(A114="","",'納品入力_横型'!M20)</x:f>
      </x:c>
      <x:c r="E114" s="12" t="str">
        <x:f>IF(A114="","",'納品入力_横型'!A22)</x:f>
      </x:c>
      <x:c r="F114" s="13" t="str">
        <x:f>IF(A114="","",'納品入力_横型'!M22)</x:f>
      </x:c>
      <x:c r="G114" s="13" t="str">
        <x:f>IF(A114="","",'納品入力_横型'!B22)</x:f>
      </x:c>
      <x:c r="H114" s="13" t="str">
        <x:f>IF(A114="","",F114*G114)</x:f>
      </x:c>
      <x:c r="I114" s="12" t="str">
        <x:f>IF(A114="","",INDEX('顧客別単価マスタ'!$E$4:$E$100,MATCH(1,('顧客別単価マスタ'!$A$4:$A$100='納品入力_横型'!$B$4)*('顧客別単価マスタ'!$C$4:$C$100=E114)*IF('顧客別単価マスタ'!$B$4:$B$100="",1,'顧客別単価マスタ'!$B$4:$B$100="S002"),0)))</x:f>
      </x:c>
      <x:c r="J114" s="12" t="str">
        <x:f>IF(A114="","","")</x:f>
      </x:c>
    </x:row>
    <x:row r="115">
      <x:c r="A115" s="12" t="str">
        <x:f>IF(OR('納品入力_横型'!N20="",'納品入力_横型'!N22=""),"",'納品入力_横型'!$E$3)</x:f>
      </x:c>
      <x:c r="B115" s="12" t="str">
        <x:f>IF(A115="","",'納品入力_横型'!$B$3)</x:f>
      </x:c>
      <x:c r="C115" s="12" t="str">
        <x:f>IF(A115="","","駅前店")</x:f>
      </x:c>
      <x:c r="D115" s="36" t="str">
        <x:f>IF(A115="","",'納品入力_横型'!N20)</x:f>
      </x:c>
      <x:c r="E115" s="12" t="str">
        <x:f>IF(A115="","",'納品入力_横型'!A22)</x:f>
      </x:c>
      <x:c r="F115" s="13" t="str">
        <x:f>IF(A115="","",'納品入力_横型'!N22)</x:f>
      </x:c>
      <x:c r="G115" s="13" t="str">
        <x:f>IF(A115="","",'納品入力_横型'!B22)</x:f>
      </x:c>
      <x:c r="H115" s="13" t="str">
        <x:f>IF(A115="","",F115*G115)</x:f>
      </x:c>
      <x:c r="I115" s="12" t="str">
        <x:f>IF(A115="","",INDEX('顧客別単価マスタ'!$E$4:$E$100,MATCH(1,('顧客別単価マスタ'!$A$4:$A$100='納品入力_横型'!$B$4)*('顧客別単価マスタ'!$C$4:$C$100=E115)*IF('顧客別単価マスタ'!$B$4:$B$100="",1,'顧客別単価マスタ'!$B$4:$B$100="S002"),0)))</x:f>
      </x:c>
      <x:c r="J115" s="12" t="str">
        <x:f>IF(A115="","","")</x:f>
      </x:c>
    </x:row>
    <x:row r="116">
      <x:c r="A116" s="12" t="str">
        <x:f>IF(OR('納品入力_横型'!O20="",'納品入力_横型'!O22=""),"",'納品入力_横型'!$E$3)</x:f>
      </x:c>
      <x:c r="B116" s="12" t="str">
        <x:f>IF(A116="","",'納品入力_横型'!$B$3)</x:f>
      </x:c>
      <x:c r="C116" s="12" t="str">
        <x:f>IF(A116="","","駅前店")</x:f>
      </x:c>
      <x:c r="D116" s="36" t="str">
        <x:f>IF(A116="","",'納品入力_横型'!O20)</x:f>
      </x:c>
      <x:c r="E116" s="12" t="str">
        <x:f>IF(A116="","",'納品入力_横型'!A22)</x:f>
      </x:c>
      <x:c r="F116" s="13" t="str">
        <x:f>IF(A116="","",'納品入力_横型'!O22)</x:f>
      </x:c>
      <x:c r="G116" s="13" t="str">
        <x:f>IF(A116="","",'納品入力_横型'!B22)</x:f>
      </x:c>
      <x:c r="H116" s="13" t="str">
        <x:f>IF(A116="","",F116*G116)</x:f>
      </x:c>
      <x:c r="I116" s="12" t="str">
        <x:f>IF(A116="","",INDEX('顧客別単価マスタ'!$E$4:$E$100,MATCH(1,('顧客別単価マスタ'!$A$4:$A$100='納品入力_横型'!$B$4)*('顧客別単価マスタ'!$C$4:$C$100=E116)*IF('顧客別単価マスタ'!$B$4:$B$100="",1,'顧客別単価マスタ'!$B$4:$B$100="S002"),0)))</x:f>
      </x:c>
      <x:c r="J116" s="12" t="str">
        <x:f>IF(A116="","","")</x:f>
      </x:c>
    </x:row>
    <x:row r="117">
      <x:c r="A117" s="12" t="str">
        <x:f>IF(OR('納品入力_横型'!P20="",'納品入力_横型'!P22=""),"",'納品入力_横型'!$E$3)</x:f>
      </x:c>
      <x:c r="B117" s="12" t="str">
        <x:f>IF(A117="","",'納品入力_横型'!$B$3)</x:f>
      </x:c>
      <x:c r="C117" s="12" t="str">
        <x:f>IF(A117="","","駅前店")</x:f>
      </x:c>
      <x:c r="D117" s="36" t="str">
        <x:f>IF(A117="","",'納品入力_横型'!P20)</x:f>
      </x:c>
      <x:c r="E117" s="12" t="str">
        <x:f>IF(A117="","",'納品入力_横型'!A22)</x:f>
      </x:c>
      <x:c r="F117" s="13" t="str">
        <x:f>IF(A117="","",'納品入力_横型'!P22)</x:f>
      </x:c>
      <x:c r="G117" s="13" t="str">
        <x:f>IF(A117="","",'納品入力_横型'!B22)</x:f>
      </x:c>
      <x:c r="H117" s="13" t="str">
        <x:f>IF(A117="","",F117*G117)</x:f>
      </x:c>
      <x:c r="I117" s="12" t="str">
        <x:f>IF(A117="","",INDEX('顧客別単価マスタ'!$E$4:$E$100,MATCH(1,('顧客別単価マスタ'!$A$4:$A$100='納品入力_横型'!$B$4)*('顧客別単価マスタ'!$C$4:$C$100=E117)*IF('顧客別単価マスタ'!$B$4:$B$100="",1,'顧客別単価マスタ'!$B$4:$B$100="S002"),0)))</x:f>
      </x:c>
      <x:c r="J117" s="12" t="str">
        <x:f>IF(A117="","","")</x:f>
      </x:c>
    </x:row>
    <x:row r="118">
      <x:c r="A118" s="12" t="str">
        <x:f>IF(OR('納品入力_横型'!Q20="",'納品入力_横型'!Q22=""),"",'納品入力_横型'!$E$3)</x:f>
      </x:c>
      <x:c r="B118" s="12" t="str">
        <x:f>IF(A118="","",'納品入力_横型'!$B$3)</x:f>
      </x:c>
      <x:c r="C118" s="12" t="str">
        <x:f>IF(A118="","","駅前店")</x:f>
      </x:c>
      <x:c r="D118" s="36" t="str">
        <x:f>IF(A118="","",'納品入力_横型'!Q20)</x:f>
      </x:c>
      <x:c r="E118" s="12" t="str">
        <x:f>IF(A118="","",'納品入力_横型'!A22)</x:f>
      </x:c>
      <x:c r="F118" s="13" t="str">
        <x:f>IF(A118="","",'納品入力_横型'!Q22)</x:f>
      </x:c>
      <x:c r="G118" s="13" t="str">
        <x:f>IF(A118="","",'納品入力_横型'!B22)</x:f>
      </x:c>
      <x:c r="H118" s="13" t="str">
        <x:f>IF(A118="","",F118*G118)</x:f>
      </x:c>
      <x:c r="I118" s="12" t="str">
        <x:f>IF(A118="","",INDEX('顧客別単価マスタ'!$E$4:$E$100,MATCH(1,('顧客別単価マスタ'!$A$4:$A$100='納品入力_横型'!$B$4)*('顧客別単価マスタ'!$C$4:$C$100=E118)*IF('顧客別単価マスタ'!$B$4:$B$100="",1,'顧客別単価マスタ'!$B$4:$B$100="S002"),0)))</x:f>
      </x:c>
      <x:c r="J118" s="12" t="str">
        <x:f>IF(A118="","","")</x:f>
      </x:c>
    </x:row>
    <x:row r="119">
      <x:c r="A119" s="12" t="str">
        <x:f>IF(OR('納品入力_横型'!R20="",'納品入力_横型'!R22=""),"",'納品入力_横型'!$E$3)</x:f>
      </x:c>
      <x:c r="B119" s="12" t="str">
        <x:f>IF(A119="","",'納品入力_横型'!$B$3)</x:f>
      </x:c>
      <x:c r="C119" s="12" t="str">
        <x:f>IF(A119="","","駅前店")</x:f>
      </x:c>
      <x:c r="D119" s="36" t="str">
        <x:f>IF(A119="","",'納品入力_横型'!R20)</x:f>
      </x:c>
      <x:c r="E119" s="12" t="str">
        <x:f>IF(A119="","",'納品入力_横型'!A22)</x:f>
      </x:c>
      <x:c r="F119" s="13" t="str">
        <x:f>IF(A119="","",'納品入力_横型'!R22)</x:f>
      </x:c>
      <x:c r="G119" s="13" t="str">
        <x:f>IF(A119="","",'納品入力_横型'!B22)</x:f>
      </x:c>
      <x:c r="H119" s="13" t="str">
        <x:f>IF(A119="","",F119*G119)</x:f>
      </x:c>
      <x:c r="I119" s="12" t="str">
        <x:f>IF(A119="","",INDEX('顧客別単価マスタ'!$E$4:$E$100,MATCH(1,('顧客別単価マスタ'!$A$4:$A$100='納品入力_横型'!$B$4)*('顧客別単価マスタ'!$C$4:$C$100=E119)*IF('顧客別単価マスタ'!$B$4:$B$100="",1,'顧客別単価マスタ'!$B$4:$B$100="S002"),0)))</x:f>
      </x:c>
      <x:c r="J119" s="12" t="str">
        <x:f>IF(A119="","","")</x:f>
      </x:c>
    </x:row>
    <x:row r="120">
      <x:c r="A120" s="12" t="str">
        <x:f>IF(OR('納品入力_横型'!S20="",'納品入力_横型'!S22=""),"",'納品入力_横型'!$E$3)</x:f>
      </x:c>
      <x:c r="B120" s="12" t="str">
        <x:f>IF(A120="","",'納品入力_横型'!$B$3)</x:f>
      </x:c>
      <x:c r="C120" s="12" t="str">
        <x:f>IF(A120="","","駅前店")</x:f>
      </x:c>
      <x:c r="D120" s="36" t="str">
        <x:f>IF(A120="","",'納品入力_横型'!S20)</x:f>
      </x:c>
      <x:c r="E120" s="12" t="str">
        <x:f>IF(A120="","",'納品入力_横型'!A22)</x:f>
      </x:c>
      <x:c r="F120" s="13" t="str">
        <x:f>IF(A120="","",'納品入力_横型'!S22)</x:f>
      </x:c>
      <x:c r="G120" s="13" t="str">
        <x:f>IF(A120="","",'納品入力_横型'!B22)</x:f>
      </x:c>
      <x:c r="H120" s="13" t="str">
        <x:f>IF(A120="","",F120*G120)</x:f>
      </x:c>
      <x:c r="I120" s="12" t="str">
        <x:f>IF(A120="","",INDEX('顧客別単価マスタ'!$E$4:$E$100,MATCH(1,('顧客別単価マスタ'!$A$4:$A$100='納品入力_横型'!$B$4)*('顧客別単価マスタ'!$C$4:$C$100=E120)*IF('顧客別単価マスタ'!$B$4:$B$100="",1,'顧客別単価マスタ'!$B$4:$B$100="S002"),0)))</x:f>
      </x:c>
      <x:c r="J120" s="12" t="str">
        <x:f>IF(A120="","","")</x:f>
      </x:c>
    </x:row>
    <x:row r="121">
      <x:c r="A121" s="12" t="str">
        <x:f>IF(OR('納品入力_横型'!T20="",'納品入力_横型'!T22=""),"",'納品入力_横型'!$E$3)</x:f>
      </x:c>
      <x:c r="B121" s="12" t="str">
        <x:f>IF(A121="","",'納品入力_横型'!$B$3)</x:f>
      </x:c>
      <x:c r="C121" s="12" t="str">
        <x:f>IF(A121="","","駅前店")</x:f>
      </x:c>
      <x:c r="D121" s="36" t="str">
        <x:f>IF(A121="","",'納品入力_横型'!T20)</x:f>
      </x:c>
      <x:c r="E121" s="12" t="str">
        <x:f>IF(A121="","",'納品入力_横型'!A22)</x:f>
      </x:c>
      <x:c r="F121" s="13" t="str">
        <x:f>IF(A121="","",'納品入力_横型'!T22)</x:f>
      </x:c>
      <x:c r="G121" s="13" t="str">
        <x:f>IF(A121="","",'納品入力_横型'!B22)</x:f>
      </x:c>
      <x:c r="H121" s="13" t="str">
        <x:f>IF(A121="","",F121*G121)</x:f>
      </x:c>
      <x:c r="I121" s="12" t="str">
        <x:f>IF(A121="","",INDEX('顧客別単価マスタ'!$E$4:$E$100,MATCH(1,('顧客別単価マスタ'!$A$4:$A$100='納品入力_横型'!$B$4)*('顧客別単価マスタ'!$C$4:$C$100=E121)*IF('顧客別単価マスタ'!$B$4:$B$100="",1,'顧客別単価マスタ'!$B$4:$B$100="S002"),0)))</x:f>
      </x:c>
      <x:c r="J121" s="12" t="str">
        <x:f>IF(A121="","","")</x:f>
      </x:c>
    </x:row>
    <x:row r="122">
      <x:c r="A122" s="12" t="str">
        <x:f>IF(OR('納品入力_横型'!U20="",'納品入力_横型'!U22=""),"",'納品入力_横型'!$E$3)</x:f>
      </x:c>
      <x:c r="B122" s="12" t="str">
        <x:f>IF(A122="","",'納品入力_横型'!$B$3)</x:f>
      </x:c>
      <x:c r="C122" s="12" t="str">
        <x:f>IF(A122="","","駅前店")</x:f>
      </x:c>
      <x:c r="D122" s="36" t="str">
        <x:f>IF(A122="","",'納品入力_横型'!U20)</x:f>
      </x:c>
      <x:c r="E122" s="12" t="str">
        <x:f>IF(A122="","",'納品入力_横型'!A22)</x:f>
      </x:c>
      <x:c r="F122" s="13" t="str">
        <x:f>IF(A122="","",'納品入力_横型'!U22)</x:f>
      </x:c>
      <x:c r="G122" s="13" t="str">
        <x:f>IF(A122="","",'納品入力_横型'!B22)</x:f>
      </x:c>
      <x:c r="H122" s="13" t="str">
        <x:f>IF(A122="","",F122*G122)</x:f>
      </x:c>
      <x:c r="I122" s="12" t="str">
        <x:f>IF(A122="","",INDEX('顧客別単価マスタ'!$E$4:$E$100,MATCH(1,('顧客別単価マスタ'!$A$4:$A$100='納品入力_横型'!$B$4)*('顧客別単価マスタ'!$C$4:$C$100=E122)*IF('顧客別単価マスタ'!$B$4:$B$100="",1,'顧客別単価マスタ'!$B$4:$B$100="S002"),0)))</x:f>
      </x:c>
      <x:c r="J122" s="12" t="str">
        <x:f>IF(A122="","","")</x:f>
      </x:c>
    </x:row>
    <x:row r="123">
      <x:c r="A123" s="12" t="str">
        <x:f>IF(OR('納品入力_横型'!V20="",'納品入力_横型'!V22=""),"",'納品入力_横型'!$E$3)</x:f>
      </x:c>
      <x:c r="B123" s="12" t="str">
        <x:f>IF(A123="","",'納品入力_横型'!$B$3)</x:f>
      </x:c>
      <x:c r="C123" s="12" t="str">
        <x:f>IF(A123="","","駅前店")</x:f>
      </x:c>
      <x:c r="D123" s="36" t="str">
        <x:f>IF(A123="","",'納品入力_横型'!V20)</x:f>
      </x:c>
      <x:c r="E123" s="12" t="str">
        <x:f>IF(A123="","",'納品入力_横型'!A22)</x:f>
      </x:c>
      <x:c r="F123" s="13" t="str">
        <x:f>IF(A123="","",'納品入力_横型'!V22)</x:f>
      </x:c>
      <x:c r="G123" s="13" t="str">
        <x:f>IF(A123="","",'納品入力_横型'!B22)</x:f>
      </x:c>
      <x:c r="H123" s="13" t="str">
        <x:f>IF(A123="","",F123*G123)</x:f>
      </x:c>
      <x:c r="I123" s="12" t="str">
        <x:f>IF(A123="","",INDEX('顧客別単価マスタ'!$E$4:$E$100,MATCH(1,('顧客別単価マスタ'!$A$4:$A$100='納品入力_横型'!$B$4)*('顧客別単価マスタ'!$C$4:$C$100=E123)*IF('顧客別単価マスタ'!$B$4:$B$100="",1,'顧客別単価マスタ'!$B$4:$B$100="S002"),0)))</x:f>
      </x:c>
      <x:c r="J123" s="12" t="str">
        <x:f>IF(A123="","","")</x:f>
      </x:c>
    </x:row>
    <x:row r="124">
      <x:c r="A124" s="12" t="str">
        <x:f>IF(OR('納品入力_横型'!C20="",'納品入力_横型'!C23=""),"",'納品入力_横型'!$E$3)</x:f>
      </x:c>
      <x:c r="B124" s="12" t="str">
        <x:f>IF(A124="","",'納品入力_横型'!$B$3)</x:f>
      </x:c>
      <x:c r="C124" s="12" t="str">
        <x:f>IF(A124="","","駅前店")</x:f>
      </x:c>
      <x:c r="D124" s="36" t="str">
        <x:f>IF(A124="","",'納品入力_横型'!C20)</x:f>
      </x:c>
      <x:c r="E124" s="12" t="str">
        <x:f>IF(A124="","",'納品入力_横型'!A23)</x:f>
      </x:c>
      <x:c r="F124" s="13" t="str">
        <x:f>IF(A124="","",'納品入力_横型'!C23)</x:f>
      </x:c>
      <x:c r="G124" s="13" t="str">
        <x:f>IF(A124="","",'納品入力_横型'!B23)</x:f>
      </x:c>
      <x:c r="H124" s="13" t="str">
        <x:f>IF(A124="","",F124*G124)</x:f>
      </x:c>
      <x:c r="I124" s="12" t="str">
        <x:f>IF(A124="","",INDEX('顧客別単価マスタ'!$E$4:$E$100,MATCH(1,('顧客別単価マスタ'!$A$4:$A$100='納品入力_横型'!$B$4)*('顧客別単価マスタ'!$C$4:$C$100=E124)*IF('顧客別単価マスタ'!$B$4:$B$100="",1,'顧客別単価マスタ'!$B$4:$B$100="S002"),0)))</x:f>
      </x:c>
      <x:c r="J124" s="12" t="str">
        <x:f>IF(A124="","","")</x:f>
      </x:c>
    </x:row>
    <x:row r="125">
      <x:c r="A125" s="12" t="str">
        <x:f>IF(OR('納品入力_横型'!D20="",'納品入力_横型'!D23=""),"",'納品入力_横型'!$E$3)</x:f>
        <x:v>2026年4月</x:v>
      </x:c>
      <x:c r="B125" s="12" t="str">
        <x:f>IF(A125="","",'納品入力_横型'!$B$3)</x:f>
        <x:v>〇〇株式会社</x:v>
      </x:c>
      <x:c r="C125" s="12" t="str">
        <x:f>IF(A125="","","駅前店")</x:f>
        <x:v>駅前店</x:v>
      </x:c>
      <x:c r="D125" s="36" t="n">
        <x:f>IF(A125="","",'納品入力_横型'!D20)</x:f>
        <x:v>46120</x:v>
      </x:c>
      <x:c r="E125" s="12" t="str">
        <x:f>IF(A125="","",'納品入力_横型'!A23)</x:f>
        <x:v>バスマット</x:v>
      </x:c>
      <x:c r="F125" s="13" t="n">
        <x:f>IF(A125="","",'納品入力_横型'!D23)</x:f>
        <x:v>10</x:v>
      </x:c>
      <x:c r="G125" s="13" t="n">
        <x:f>IF(A125="","",'納品入力_横型'!B23)</x:f>
        <x:v>20</x:v>
      </x:c>
      <x:c r="H125" s="13" t="n">
        <x:f>IF(A125="","",F125*G125)</x:f>
        <x:v>200</x:v>
      </x:c>
      <x:c r="I125" s="12" t="str">
        <x:f>IF(A125="","",INDEX('顧客別単価マスタ'!$E$4:$E$100,MATCH(1,('顧客別単価マスタ'!$A$4:$A$100='納品入力_横型'!$B$4)*('顧客別単価マスタ'!$C$4:$C$100=E125)*IF('顧客別単価マスタ'!$B$4:$B$100="",1,'顧客別単価マスタ'!$B$4:$B$100="S002"),0)))</x:f>
        <x:v>商品</x:v>
      </x:c>
      <x:c r="J125" s="12" t="str">
        <x:f>IF(A125="","","")</x:f>
      </x:c>
    </x:row>
    <x:row r="126">
      <x:c r="A126" s="12" t="str">
        <x:f>IF(OR('納品入力_横型'!E20="",'納品入力_横型'!E23=""),"",'納品入力_横型'!$E$3)</x:f>
        <x:v>2026年4月</x:v>
      </x:c>
      <x:c r="B126" s="12" t="str">
        <x:f>IF(A126="","",'納品入力_横型'!$B$3)</x:f>
        <x:v>〇〇株式会社</x:v>
      </x:c>
      <x:c r="C126" s="12" t="str">
        <x:f>IF(A126="","","駅前店")</x:f>
        <x:v>駅前店</x:v>
      </x:c>
      <x:c r="D126" s="36" t="n">
        <x:f>IF(A126="","",'納品入力_横型'!E20)</x:f>
        <x:v>46128</x:v>
      </x:c>
      <x:c r="E126" s="12" t="str">
        <x:f>IF(A126="","",'納品入力_横型'!A23)</x:f>
        <x:v>バスマット</x:v>
      </x:c>
      <x:c r="F126" s="13" t="n">
        <x:f>IF(A126="","",'納品入力_横型'!E23)</x:f>
        <x:v>10</x:v>
      </x:c>
      <x:c r="G126" s="13" t="n">
        <x:f>IF(A126="","",'納品入力_横型'!B23)</x:f>
        <x:v>20</x:v>
      </x:c>
      <x:c r="H126" s="13" t="n">
        <x:f>IF(A126="","",F126*G126)</x:f>
        <x:v>200</x:v>
      </x:c>
      <x:c r="I126" s="12" t="str">
        <x:f>IF(A126="","",INDEX('顧客別単価マスタ'!$E$4:$E$100,MATCH(1,('顧客別単価マスタ'!$A$4:$A$100='納品入力_横型'!$B$4)*('顧客別単価マスタ'!$C$4:$C$100=E126)*IF('顧客別単価マスタ'!$B$4:$B$100="",1,'顧客別単価マスタ'!$B$4:$B$100="S002"),0)))</x:f>
        <x:v>商品</x:v>
      </x:c>
      <x:c r="J126" s="12" t="str">
        <x:f>IF(A126="","","")</x:f>
      </x:c>
    </x:row>
    <x:row r="127">
      <x:c r="A127" s="12" t="str">
        <x:f>IF(OR('納品入力_横型'!F20="",'納品入力_横型'!F23=""),"",'納品入力_横型'!$E$3)</x:f>
      </x:c>
      <x:c r="B127" s="12" t="str">
        <x:f>IF(A127="","",'納品入力_横型'!$B$3)</x:f>
      </x:c>
      <x:c r="C127" s="12" t="str">
        <x:f>IF(A127="","","駅前店")</x:f>
      </x:c>
      <x:c r="D127" s="36" t="str">
        <x:f>IF(A127="","",'納品入力_横型'!F20)</x:f>
      </x:c>
      <x:c r="E127" s="12" t="str">
        <x:f>IF(A127="","",'納品入力_横型'!A23)</x:f>
      </x:c>
      <x:c r="F127" s="13" t="str">
        <x:f>IF(A127="","",'納品入力_横型'!F23)</x:f>
      </x:c>
      <x:c r="G127" s="13" t="str">
        <x:f>IF(A127="","",'納品入力_横型'!B23)</x:f>
      </x:c>
      <x:c r="H127" s="13" t="str">
        <x:f>IF(A127="","",F127*G127)</x:f>
      </x:c>
      <x:c r="I127" s="12" t="str">
        <x:f>IF(A127="","",INDEX('顧客別単価マスタ'!$E$4:$E$100,MATCH(1,('顧客別単価マスタ'!$A$4:$A$100='納品入力_横型'!$B$4)*('顧客別単価マスタ'!$C$4:$C$100=E127)*IF('顧客別単価マスタ'!$B$4:$B$100="",1,'顧客別単価マスタ'!$B$4:$B$100="S002"),0)))</x:f>
      </x:c>
      <x:c r="J127" s="12" t="str">
        <x:f>IF(A127="","","")</x:f>
      </x:c>
    </x:row>
    <x:row r="128">
      <x:c r="A128" s="12" t="str">
        <x:f>IF(OR('納品入力_横型'!G20="",'納品入力_横型'!G23=""),"",'納品入力_横型'!$E$3)</x:f>
      </x:c>
      <x:c r="B128" s="12" t="str">
        <x:f>IF(A128="","",'納品入力_横型'!$B$3)</x:f>
      </x:c>
      <x:c r="C128" s="12" t="str">
        <x:f>IF(A128="","","駅前店")</x:f>
      </x:c>
      <x:c r="D128" s="36" t="str">
        <x:f>IF(A128="","",'納品入力_横型'!G20)</x:f>
      </x:c>
      <x:c r="E128" s="12" t="str">
        <x:f>IF(A128="","",'納品入力_横型'!A23)</x:f>
      </x:c>
      <x:c r="F128" s="13" t="str">
        <x:f>IF(A128="","",'納品入力_横型'!G23)</x:f>
      </x:c>
      <x:c r="G128" s="13" t="str">
        <x:f>IF(A128="","",'納品入力_横型'!B23)</x:f>
      </x:c>
      <x:c r="H128" s="13" t="str">
        <x:f>IF(A128="","",F128*G128)</x:f>
      </x:c>
      <x:c r="I128" s="12" t="str">
        <x:f>IF(A128="","",INDEX('顧客別単価マスタ'!$E$4:$E$100,MATCH(1,('顧客別単価マスタ'!$A$4:$A$100='納品入力_横型'!$B$4)*('顧客別単価マスタ'!$C$4:$C$100=E128)*IF('顧客別単価マスタ'!$B$4:$B$100="",1,'顧客別単価マスタ'!$B$4:$B$100="S002"),0)))</x:f>
      </x:c>
      <x:c r="J128" s="12" t="str">
        <x:f>IF(A128="","","")</x:f>
      </x:c>
    </x:row>
    <x:row r="129">
      <x:c r="A129" s="12" t="str">
        <x:f>IF(OR('納品入力_横型'!H20="",'納品入力_横型'!H23=""),"",'納品入力_横型'!$E$3)</x:f>
      </x:c>
      <x:c r="B129" s="12" t="str">
        <x:f>IF(A129="","",'納品入力_横型'!$B$3)</x:f>
      </x:c>
      <x:c r="C129" s="12" t="str">
        <x:f>IF(A129="","","駅前店")</x:f>
      </x:c>
      <x:c r="D129" s="36" t="str">
        <x:f>IF(A129="","",'納品入力_横型'!H20)</x:f>
      </x:c>
      <x:c r="E129" s="12" t="str">
        <x:f>IF(A129="","",'納品入力_横型'!A23)</x:f>
      </x:c>
      <x:c r="F129" s="13" t="str">
        <x:f>IF(A129="","",'納品入力_横型'!H23)</x:f>
      </x:c>
      <x:c r="G129" s="13" t="str">
        <x:f>IF(A129="","",'納品入力_横型'!B23)</x:f>
      </x:c>
      <x:c r="H129" s="13" t="str">
        <x:f>IF(A129="","",F129*G129)</x:f>
      </x:c>
      <x:c r="I129" s="12" t="str">
        <x:f>IF(A129="","",INDEX('顧客別単価マスタ'!$E$4:$E$100,MATCH(1,('顧客別単価マスタ'!$A$4:$A$100='納品入力_横型'!$B$4)*('顧客別単価マスタ'!$C$4:$C$100=E129)*IF('顧客別単価マスタ'!$B$4:$B$100="",1,'顧客別単価マスタ'!$B$4:$B$100="S002"),0)))</x:f>
      </x:c>
      <x:c r="J129" s="12" t="str">
        <x:f>IF(A129="","","")</x:f>
      </x:c>
    </x:row>
    <x:row r="130">
      <x:c r="A130" s="12" t="str">
        <x:f>IF(OR('納品入力_横型'!I20="",'納品入力_横型'!I23=""),"",'納品入力_横型'!$E$3)</x:f>
      </x:c>
      <x:c r="B130" s="12" t="str">
        <x:f>IF(A130="","",'納品入力_横型'!$B$3)</x:f>
      </x:c>
      <x:c r="C130" s="12" t="str">
        <x:f>IF(A130="","","駅前店")</x:f>
      </x:c>
      <x:c r="D130" s="36" t="str">
        <x:f>IF(A130="","",'納品入力_横型'!I20)</x:f>
      </x:c>
      <x:c r="E130" s="12" t="str">
        <x:f>IF(A130="","",'納品入力_横型'!A23)</x:f>
      </x:c>
      <x:c r="F130" s="13" t="str">
        <x:f>IF(A130="","",'納品入力_横型'!I23)</x:f>
      </x:c>
      <x:c r="G130" s="13" t="str">
        <x:f>IF(A130="","",'納品入力_横型'!B23)</x:f>
      </x:c>
      <x:c r="H130" s="13" t="str">
        <x:f>IF(A130="","",F130*G130)</x:f>
      </x:c>
      <x:c r="I130" s="12" t="str">
        <x:f>IF(A130="","",INDEX('顧客別単価マスタ'!$E$4:$E$100,MATCH(1,('顧客別単価マスタ'!$A$4:$A$100='納品入力_横型'!$B$4)*('顧客別単価マスタ'!$C$4:$C$100=E130)*IF('顧客別単価マスタ'!$B$4:$B$100="",1,'顧客別単価マスタ'!$B$4:$B$100="S002"),0)))</x:f>
      </x:c>
      <x:c r="J130" s="12" t="str">
        <x:f>IF(A130="","","")</x:f>
      </x:c>
    </x:row>
    <x:row r="131">
      <x:c r="A131" s="12" t="str">
        <x:f>IF(OR('納品入力_横型'!J20="",'納品入力_横型'!J23=""),"",'納品入力_横型'!$E$3)</x:f>
      </x:c>
      <x:c r="B131" s="12" t="str">
        <x:f>IF(A131="","",'納品入力_横型'!$B$3)</x:f>
      </x:c>
      <x:c r="C131" s="12" t="str">
        <x:f>IF(A131="","","駅前店")</x:f>
      </x:c>
      <x:c r="D131" s="36" t="str">
        <x:f>IF(A131="","",'納品入力_横型'!J20)</x:f>
      </x:c>
      <x:c r="E131" s="12" t="str">
        <x:f>IF(A131="","",'納品入力_横型'!A23)</x:f>
      </x:c>
      <x:c r="F131" s="13" t="str">
        <x:f>IF(A131="","",'納品入力_横型'!J23)</x:f>
      </x:c>
      <x:c r="G131" s="13" t="str">
        <x:f>IF(A131="","",'納品入力_横型'!B23)</x:f>
      </x:c>
      <x:c r="H131" s="13" t="str">
        <x:f>IF(A131="","",F131*G131)</x:f>
      </x:c>
      <x:c r="I131" s="12" t="str">
        <x:f>IF(A131="","",INDEX('顧客別単価マスタ'!$E$4:$E$100,MATCH(1,('顧客別単価マスタ'!$A$4:$A$100='納品入力_横型'!$B$4)*('顧客別単価マスタ'!$C$4:$C$100=E131)*IF('顧客別単価マスタ'!$B$4:$B$100="",1,'顧客別単価マスタ'!$B$4:$B$100="S002"),0)))</x:f>
      </x:c>
      <x:c r="J131" s="12" t="str">
        <x:f>IF(A131="","","")</x:f>
      </x:c>
    </x:row>
    <x:row r="132">
      <x:c r="A132" s="12" t="str">
        <x:f>IF(OR('納品入力_横型'!K20="",'納品入力_横型'!K23=""),"",'納品入力_横型'!$E$3)</x:f>
      </x:c>
      <x:c r="B132" s="12" t="str">
        <x:f>IF(A132="","",'納品入力_横型'!$B$3)</x:f>
      </x:c>
      <x:c r="C132" s="12" t="str">
        <x:f>IF(A132="","","駅前店")</x:f>
      </x:c>
      <x:c r="D132" s="36" t="str">
        <x:f>IF(A132="","",'納品入力_横型'!K20)</x:f>
      </x:c>
      <x:c r="E132" s="12" t="str">
        <x:f>IF(A132="","",'納品入力_横型'!A23)</x:f>
      </x:c>
      <x:c r="F132" s="13" t="str">
        <x:f>IF(A132="","",'納品入力_横型'!K23)</x:f>
      </x:c>
      <x:c r="G132" s="13" t="str">
        <x:f>IF(A132="","",'納品入力_横型'!B23)</x:f>
      </x:c>
      <x:c r="H132" s="13" t="str">
        <x:f>IF(A132="","",F132*G132)</x:f>
      </x:c>
      <x:c r="I132" s="12" t="str">
        <x:f>IF(A132="","",INDEX('顧客別単価マスタ'!$E$4:$E$100,MATCH(1,('顧客別単価マスタ'!$A$4:$A$100='納品入力_横型'!$B$4)*('顧客別単価マスタ'!$C$4:$C$100=E132)*IF('顧客別単価マスタ'!$B$4:$B$100="",1,'顧客別単価マスタ'!$B$4:$B$100="S002"),0)))</x:f>
      </x:c>
      <x:c r="J132" s="12" t="str">
        <x:f>IF(A132="","","")</x:f>
      </x:c>
    </x:row>
    <x:row r="133">
      <x:c r="A133" s="12" t="str">
        <x:f>IF(OR('納品入力_横型'!L20="",'納品入力_横型'!L23=""),"",'納品入力_横型'!$E$3)</x:f>
      </x:c>
      <x:c r="B133" s="12" t="str">
        <x:f>IF(A133="","",'納品入力_横型'!$B$3)</x:f>
      </x:c>
      <x:c r="C133" s="12" t="str">
        <x:f>IF(A133="","","駅前店")</x:f>
      </x:c>
      <x:c r="D133" s="36" t="str">
        <x:f>IF(A133="","",'納品入力_横型'!L20)</x:f>
      </x:c>
      <x:c r="E133" s="12" t="str">
        <x:f>IF(A133="","",'納品入力_横型'!A23)</x:f>
      </x:c>
      <x:c r="F133" s="13" t="str">
        <x:f>IF(A133="","",'納品入力_横型'!L23)</x:f>
      </x:c>
      <x:c r="G133" s="13" t="str">
        <x:f>IF(A133="","",'納品入力_横型'!B23)</x:f>
      </x:c>
      <x:c r="H133" s="13" t="str">
        <x:f>IF(A133="","",F133*G133)</x:f>
      </x:c>
      <x:c r="I133" s="12" t="str">
        <x:f>IF(A133="","",INDEX('顧客別単価マスタ'!$E$4:$E$100,MATCH(1,('顧客別単価マスタ'!$A$4:$A$100='納品入力_横型'!$B$4)*('顧客別単価マスタ'!$C$4:$C$100=E133)*IF('顧客別単価マスタ'!$B$4:$B$100="",1,'顧客別単価マスタ'!$B$4:$B$100="S002"),0)))</x:f>
      </x:c>
      <x:c r="J133" s="12" t="str">
        <x:f>IF(A133="","","")</x:f>
      </x:c>
    </x:row>
    <x:row r="134">
      <x:c r="A134" s="12" t="str">
        <x:f>IF(OR('納品入力_横型'!M20="",'納品入力_横型'!M23=""),"",'納品入力_横型'!$E$3)</x:f>
      </x:c>
      <x:c r="B134" s="12" t="str">
        <x:f>IF(A134="","",'納品入力_横型'!$B$3)</x:f>
      </x:c>
      <x:c r="C134" s="12" t="str">
        <x:f>IF(A134="","","駅前店")</x:f>
      </x:c>
      <x:c r="D134" s="36" t="str">
        <x:f>IF(A134="","",'納品入力_横型'!M20)</x:f>
      </x:c>
      <x:c r="E134" s="12" t="str">
        <x:f>IF(A134="","",'納品入力_横型'!A23)</x:f>
      </x:c>
      <x:c r="F134" s="13" t="str">
        <x:f>IF(A134="","",'納品入力_横型'!M23)</x:f>
      </x:c>
      <x:c r="G134" s="13" t="str">
        <x:f>IF(A134="","",'納品入力_横型'!B23)</x:f>
      </x:c>
      <x:c r="H134" s="13" t="str">
        <x:f>IF(A134="","",F134*G134)</x:f>
      </x:c>
      <x:c r="I134" s="12" t="str">
        <x:f>IF(A134="","",INDEX('顧客別単価マスタ'!$E$4:$E$100,MATCH(1,('顧客別単価マスタ'!$A$4:$A$100='納品入力_横型'!$B$4)*('顧客別単価マスタ'!$C$4:$C$100=E134)*IF('顧客別単価マスタ'!$B$4:$B$100="",1,'顧客別単価マスタ'!$B$4:$B$100="S002"),0)))</x:f>
      </x:c>
      <x:c r="J134" s="12" t="str">
        <x:f>IF(A134="","","")</x:f>
      </x:c>
    </x:row>
    <x:row r="135">
      <x:c r="A135" s="12" t="str">
        <x:f>IF(OR('納品入力_横型'!N20="",'納品入力_横型'!N23=""),"",'納品入力_横型'!$E$3)</x:f>
      </x:c>
      <x:c r="B135" s="12" t="str">
        <x:f>IF(A135="","",'納品入力_横型'!$B$3)</x:f>
      </x:c>
      <x:c r="C135" s="12" t="str">
        <x:f>IF(A135="","","駅前店")</x:f>
      </x:c>
      <x:c r="D135" s="36" t="str">
        <x:f>IF(A135="","",'納品入力_横型'!N20)</x:f>
      </x:c>
      <x:c r="E135" s="12" t="str">
        <x:f>IF(A135="","",'納品入力_横型'!A23)</x:f>
      </x:c>
      <x:c r="F135" s="13" t="str">
        <x:f>IF(A135="","",'納品入力_横型'!N23)</x:f>
      </x:c>
      <x:c r="G135" s="13" t="str">
        <x:f>IF(A135="","",'納品入力_横型'!B23)</x:f>
      </x:c>
      <x:c r="H135" s="13" t="str">
        <x:f>IF(A135="","",F135*G135)</x:f>
      </x:c>
      <x:c r="I135" s="12" t="str">
        <x:f>IF(A135="","",INDEX('顧客別単価マスタ'!$E$4:$E$100,MATCH(1,('顧客別単価マスタ'!$A$4:$A$100='納品入力_横型'!$B$4)*('顧客別単価マスタ'!$C$4:$C$100=E135)*IF('顧客別単価マスタ'!$B$4:$B$100="",1,'顧客別単価マスタ'!$B$4:$B$100="S002"),0)))</x:f>
      </x:c>
      <x:c r="J135" s="12" t="str">
        <x:f>IF(A135="","","")</x:f>
      </x:c>
    </x:row>
    <x:row r="136">
      <x:c r="A136" s="12" t="str">
        <x:f>IF(OR('納品入力_横型'!O20="",'納品入力_横型'!O23=""),"",'納品入力_横型'!$E$3)</x:f>
      </x:c>
      <x:c r="B136" s="12" t="str">
        <x:f>IF(A136="","",'納品入力_横型'!$B$3)</x:f>
      </x:c>
      <x:c r="C136" s="12" t="str">
        <x:f>IF(A136="","","駅前店")</x:f>
      </x:c>
      <x:c r="D136" s="36" t="str">
        <x:f>IF(A136="","",'納品入力_横型'!O20)</x:f>
      </x:c>
      <x:c r="E136" s="12" t="str">
        <x:f>IF(A136="","",'納品入力_横型'!A23)</x:f>
      </x:c>
      <x:c r="F136" s="13" t="str">
        <x:f>IF(A136="","",'納品入力_横型'!O23)</x:f>
      </x:c>
      <x:c r="G136" s="13" t="str">
        <x:f>IF(A136="","",'納品入力_横型'!B23)</x:f>
      </x:c>
      <x:c r="H136" s="13" t="str">
        <x:f>IF(A136="","",F136*G136)</x:f>
      </x:c>
      <x:c r="I136" s="12" t="str">
        <x:f>IF(A136="","",INDEX('顧客別単価マスタ'!$E$4:$E$100,MATCH(1,('顧客別単価マスタ'!$A$4:$A$100='納品入力_横型'!$B$4)*('顧客別単価マスタ'!$C$4:$C$100=E136)*IF('顧客別単価マスタ'!$B$4:$B$100="",1,'顧客別単価マスタ'!$B$4:$B$100="S002"),0)))</x:f>
      </x:c>
      <x:c r="J136" s="12" t="str">
        <x:f>IF(A136="","","")</x:f>
      </x:c>
    </x:row>
    <x:row r="137">
      <x:c r="A137" s="12" t="str">
        <x:f>IF(OR('納品入力_横型'!P20="",'納品入力_横型'!P23=""),"",'納品入力_横型'!$E$3)</x:f>
      </x:c>
      <x:c r="B137" s="12" t="str">
        <x:f>IF(A137="","",'納品入力_横型'!$B$3)</x:f>
      </x:c>
      <x:c r="C137" s="12" t="str">
        <x:f>IF(A137="","","駅前店")</x:f>
      </x:c>
      <x:c r="D137" s="36" t="str">
        <x:f>IF(A137="","",'納品入力_横型'!P20)</x:f>
      </x:c>
      <x:c r="E137" s="12" t="str">
        <x:f>IF(A137="","",'納品入力_横型'!A23)</x:f>
      </x:c>
      <x:c r="F137" s="13" t="str">
        <x:f>IF(A137="","",'納品入力_横型'!P23)</x:f>
      </x:c>
      <x:c r="G137" s="13" t="str">
        <x:f>IF(A137="","",'納品入力_横型'!B23)</x:f>
      </x:c>
      <x:c r="H137" s="13" t="str">
        <x:f>IF(A137="","",F137*G137)</x:f>
      </x:c>
      <x:c r="I137" s="12" t="str">
        <x:f>IF(A137="","",INDEX('顧客別単価マスタ'!$E$4:$E$100,MATCH(1,('顧客別単価マスタ'!$A$4:$A$100='納品入力_横型'!$B$4)*('顧客別単価マスタ'!$C$4:$C$100=E137)*IF('顧客別単価マスタ'!$B$4:$B$100="",1,'顧客別単価マスタ'!$B$4:$B$100="S002"),0)))</x:f>
      </x:c>
      <x:c r="J137" s="12" t="str">
        <x:f>IF(A137="","","")</x:f>
      </x:c>
    </x:row>
    <x:row r="138">
      <x:c r="A138" s="12" t="str">
        <x:f>IF(OR('納品入力_横型'!Q20="",'納品入力_横型'!Q23=""),"",'納品入力_横型'!$E$3)</x:f>
      </x:c>
      <x:c r="B138" s="12" t="str">
        <x:f>IF(A138="","",'納品入力_横型'!$B$3)</x:f>
      </x:c>
      <x:c r="C138" s="12" t="str">
        <x:f>IF(A138="","","駅前店")</x:f>
      </x:c>
      <x:c r="D138" s="36" t="str">
        <x:f>IF(A138="","",'納品入力_横型'!Q20)</x:f>
      </x:c>
      <x:c r="E138" s="12" t="str">
        <x:f>IF(A138="","",'納品入力_横型'!A23)</x:f>
      </x:c>
      <x:c r="F138" s="13" t="str">
        <x:f>IF(A138="","",'納品入力_横型'!Q23)</x:f>
      </x:c>
      <x:c r="G138" s="13" t="str">
        <x:f>IF(A138="","",'納品入力_横型'!B23)</x:f>
      </x:c>
      <x:c r="H138" s="13" t="str">
        <x:f>IF(A138="","",F138*G138)</x:f>
      </x:c>
      <x:c r="I138" s="12" t="str">
        <x:f>IF(A138="","",INDEX('顧客別単価マスタ'!$E$4:$E$100,MATCH(1,('顧客別単価マスタ'!$A$4:$A$100='納品入力_横型'!$B$4)*('顧客別単価マスタ'!$C$4:$C$100=E138)*IF('顧客別単価マスタ'!$B$4:$B$100="",1,'顧客別単価マスタ'!$B$4:$B$100="S002"),0)))</x:f>
      </x:c>
      <x:c r="J138" s="12" t="str">
        <x:f>IF(A138="","","")</x:f>
      </x:c>
    </x:row>
    <x:row r="139">
      <x:c r="A139" s="12" t="str">
        <x:f>IF(OR('納品入力_横型'!R20="",'納品入力_横型'!R23=""),"",'納品入力_横型'!$E$3)</x:f>
      </x:c>
      <x:c r="B139" s="12" t="str">
        <x:f>IF(A139="","",'納品入力_横型'!$B$3)</x:f>
      </x:c>
      <x:c r="C139" s="12" t="str">
        <x:f>IF(A139="","","駅前店")</x:f>
      </x:c>
      <x:c r="D139" s="36" t="str">
        <x:f>IF(A139="","",'納品入力_横型'!R20)</x:f>
      </x:c>
      <x:c r="E139" s="12" t="str">
        <x:f>IF(A139="","",'納品入力_横型'!A23)</x:f>
      </x:c>
      <x:c r="F139" s="13" t="str">
        <x:f>IF(A139="","",'納品入力_横型'!R23)</x:f>
      </x:c>
      <x:c r="G139" s="13" t="str">
        <x:f>IF(A139="","",'納品入力_横型'!B23)</x:f>
      </x:c>
      <x:c r="H139" s="13" t="str">
        <x:f>IF(A139="","",F139*G139)</x:f>
      </x:c>
      <x:c r="I139" s="12" t="str">
        <x:f>IF(A139="","",INDEX('顧客別単価マスタ'!$E$4:$E$100,MATCH(1,('顧客別単価マスタ'!$A$4:$A$100='納品入力_横型'!$B$4)*('顧客別単価マスタ'!$C$4:$C$100=E139)*IF('顧客別単価マスタ'!$B$4:$B$100="",1,'顧客別単価マスタ'!$B$4:$B$100="S002"),0)))</x:f>
      </x:c>
      <x:c r="J139" s="12" t="str">
        <x:f>IF(A139="","","")</x:f>
      </x:c>
    </x:row>
    <x:row r="140">
      <x:c r="A140" s="12" t="str">
        <x:f>IF(OR('納品入力_横型'!S20="",'納品入力_横型'!S23=""),"",'納品入力_横型'!$E$3)</x:f>
      </x:c>
      <x:c r="B140" s="12" t="str">
        <x:f>IF(A140="","",'納品入力_横型'!$B$3)</x:f>
      </x:c>
      <x:c r="C140" s="12" t="str">
        <x:f>IF(A140="","","駅前店")</x:f>
      </x:c>
      <x:c r="D140" s="36" t="str">
        <x:f>IF(A140="","",'納品入力_横型'!S20)</x:f>
      </x:c>
      <x:c r="E140" s="12" t="str">
        <x:f>IF(A140="","",'納品入力_横型'!A23)</x:f>
      </x:c>
      <x:c r="F140" s="13" t="str">
        <x:f>IF(A140="","",'納品入力_横型'!S23)</x:f>
      </x:c>
      <x:c r="G140" s="13" t="str">
        <x:f>IF(A140="","",'納品入力_横型'!B23)</x:f>
      </x:c>
      <x:c r="H140" s="13" t="str">
        <x:f>IF(A140="","",F140*G140)</x:f>
      </x:c>
      <x:c r="I140" s="12" t="str">
        <x:f>IF(A140="","",INDEX('顧客別単価マスタ'!$E$4:$E$100,MATCH(1,('顧客別単価マスタ'!$A$4:$A$100='納品入力_横型'!$B$4)*('顧客別単価マスタ'!$C$4:$C$100=E140)*IF('顧客別単価マスタ'!$B$4:$B$100="",1,'顧客別単価マスタ'!$B$4:$B$100="S002"),0)))</x:f>
      </x:c>
      <x:c r="J140" s="12" t="str">
        <x:f>IF(A140="","","")</x:f>
      </x:c>
    </x:row>
    <x:row r="141">
      <x:c r="A141" s="12" t="str">
        <x:f>IF(OR('納品入力_横型'!T20="",'納品入力_横型'!T23=""),"",'納品入力_横型'!$E$3)</x:f>
      </x:c>
      <x:c r="B141" s="12" t="str">
        <x:f>IF(A141="","",'納品入力_横型'!$B$3)</x:f>
      </x:c>
      <x:c r="C141" s="12" t="str">
        <x:f>IF(A141="","","駅前店")</x:f>
      </x:c>
      <x:c r="D141" s="36" t="str">
        <x:f>IF(A141="","",'納品入力_横型'!T20)</x:f>
      </x:c>
      <x:c r="E141" s="12" t="str">
        <x:f>IF(A141="","",'納品入力_横型'!A23)</x:f>
      </x:c>
      <x:c r="F141" s="13" t="str">
        <x:f>IF(A141="","",'納品入力_横型'!T23)</x:f>
      </x:c>
      <x:c r="G141" s="13" t="str">
        <x:f>IF(A141="","",'納品入力_横型'!B23)</x:f>
      </x:c>
      <x:c r="H141" s="13" t="str">
        <x:f>IF(A141="","",F141*G141)</x:f>
      </x:c>
      <x:c r="I141" s="12" t="str">
        <x:f>IF(A141="","",INDEX('顧客別単価マスタ'!$E$4:$E$100,MATCH(1,('顧客別単価マスタ'!$A$4:$A$100='納品入力_横型'!$B$4)*('顧客別単価マスタ'!$C$4:$C$100=E141)*IF('顧客別単価マスタ'!$B$4:$B$100="",1,'顧客別単価マスタ'!$B$4:$B$100="S002"),0)))</x:f>
      </x:c>
      <x:c r="J141" s="12" t="str">
        <x:f>IF(A141="","","")</x:f>
      </x:c>
    </x:row>
    <x:row r="142">
      <x:c r="A142" s="12" t="str">
        <x:f>IF(OR('納品入力_横型'!U20="",'納品入力_横型'!U23=""),"",'納品入力_横型'!$E$3)</x:f>
      </x:c>
      <x:c r="B142" s="12" t="str">
        <x:f>IF(A142="","",'納品入力_横型'!$B$3)</x:f>
      </x:c>
      <x:c r="C142" s="12" t="str">
        <x:f>IF(A142="","","駅前店")</x:f>
      </x:c>
      <x:c r="D142" s="36" t="str">
        <x:f>IF(A142="","",'納品入力_横型'!U20)</x:f>
      </x:c>
      <x:c r="E142" s="12" t="str">
        <x:f>IF(A142="","",'納品入力_横型'!A23)</x:f>
      </x:c>
      <x:c r="F142" s="13" t="str">
        <x:f>IF(A142="","",'納品入力_横型'!U23)</x:f>
      </x:c>
      <x:c r="G142" s="13" t="str">
        <x:f>IF(A142="","",'納品入力_横型'!B23)</x:f>
      </x:c>
      <x:c r="H142" s="13" t="str">
        <x:f>IF(A142="","",F142*G142)</x:f>
      </x:c>
      <x:c r="I142" s="12" t="str">
        <x:f>IF(A142="","",INDEX('顧客別単価マスタ'!$E$4:$E$100,MATCH(1,('顧客別単価マスタ'!$A$4:$A$100='納品入力_横型'!$B$4)*('顧客別単価マスタ'!$C$4:$C$100=E142)*IF('顧客別単価マスタ'!$B$4:$B$100="",1,'顧客別単価マスタ'!$B$4:$B$100="S002"),0)))</x:f>
      </x:c>
      <x:c r="J142" s="12" t="str">
        <x:f>IF(A142="","","")</x:f>
      </x:c>
    </x:row>
    <x:row r="143">
      <x:c r="A143" s="12" t="str">
        <x:f>IF(OR('納品入力_横型'!V20="",'納品入力_横型'!V23=""),"",'納品入力_横型'!$E$3)</x:f>
      </x:c>
      <x:c r="B143" s="12" t="str">
        <x:f>IF(A143="","",'納品入力_横型'!$B$3)</x:f>
      </x:c>
      <x:c r="C143" s="12" t="str">
        <x:f>IF(A143="","","駅前店")</x:f>
      </x:c>
      <x:c r="D143" s="36" t="str">
        <x:f>IF(A143="","",'納品入力_横型'!V20)</x:f>
      </x:c>
      <x:c r="E143" s="12" t="str">
        <x:f>IF(A143="","",'納品入力_横型'!A23)</x:f>
      </x:c>
      <x:c r="F143" s="13" t="str">
        <x:f>IF(A143="","",'納品入力_横型'!V23)</x:f>
      </x:c>
      <x:c r="G143" s="13" t="str">
        <x:f>IF(A143="","",'納品入力_横型'!B23)</x:f>
      </x:c>
      <x:c r="H143" s="13" t="str">
        <x:f>IF(A143="","",F143*G143)</x:f>
      </x:c>
      <x:c r="I143" s="12" t="str">
        <x:f>IF(A143="","",INDEX('顧客別単価マスタ'!$E$4:$E$100,MATCH(1,('顧客別単価マスタ'!$A$4:$A$100='納品入力_横型'!$B$4)*('顧客別単価マスタ'!$C$4:$C$100=E143)*IF('顧客別単価マスタ'!$B$4:$B$100="",1,'顧客別単価マスタ'!$B$4:$B$100="S002"),0)))</x:f>
      </x:c>
      <x:c r="J143" s="12" t="str">
        <x:f>IF(A143="","","")</x:f>
      </x:c>
    </x:row>
    <x:row r="144">
      <x:c r="A144" s="12" t="str">
        <x:f>IF(OR('納品入力_横型'!C20="",'納品入力_横型'!C24=""),"",'納品入力_横型'!$E$3)</x:f>
        <x:v>2026年4月</x:v>
      </x:c>
      <x:c r="B144" s="12" t="str">
        <x:f>IF(A144="","",'納品入力_横型'!$B$3)</x:f>
        <x:v>〇〇株式会社</x:v>
      </x:c>
      <x:c r="C144" s="12" t="str">
        <x:f>IF(A144="","","駅前店")</x:f>
        <x:v>駅前店</x:v>
      </x:c>
      <x:c r="D144" s="36" t="n">
        <x:f>IF(A144="","",'納品入力_横型'!C20)</x:f>
        <x:v>46114</x:v>
      </x:c>
      <x:c r="E144" s="12" t="str">
        <x:f>IF(A144="","",'納品入力_横型'!A24)</x:f>
        <x:v>配達料</x:v>
      </x:c>
      <x:c r="F144" s="13" t="n">
        <x:f>IF(A144="","",'納品入力_横型'!C24)</x:f>
        <x:v>1</x:v>
      </x:c>
      <x:c r="G144" s="13" t="n">
        <x:f>IF(A144="","",'納品入力_横型'!B24)</x:f>
        <x:v>150</x:v>
      </x:c>
      <x:c r="H144" s="13" t="n">
        <x:f>IF(A144="","",F144*G144)</x:f>
        <x:v>150</x:v>
      </x:c>
      <x:c r="I144" s="12" t="str">
        <x:f>IF(A144="","",INDEX('顧客別単価マスタ'!$E$4:$E$100,MATCH(1,('顧客別単価マスタ'!$A$4:$A$100='納品入力_横型'!$B$4)*('顧客別単価マスタ'!$C$4:$C$100=E144)*IF('顧客別単価マスタ'!$B$4:$B$100="",1,'顧客別単価マスタ'!$B$4:$B$100="S002"),0)))</x:f>
        <x:v>配達料</x:v>
      </x:c>
      <x:c r="J144" s="12" t="str">
        <x:f>IF(A144="","","")</x:f>
      </x:c>
    </x:row>
    <x:row r="145">
      <x:c r="A145" s="12" t="str">
        <x:f>IF(OR('納品入力_横型'!D20="",'納品入力_横型'!D24=""),"",'納品入力_横型'!$E$3)</x:f>
        <x:v>2026年4月</x:v>
      </x:c>
      <x:c r="B145" s="12" t="str">
        <x:f>IF(A145="","",'納品入力_横型'!$B$3)</x:f>
        <x:v>〇〇株式会社</x:v>
      </x:c>
      <x:c r="C145" s="12" t="str">
        <x:f>IF(A145="","","駅前店")</x:f>
        <x:v>駅前店</x:v>
      </x:c>
      <x:c r="D145" s="36" t="n">
        <x:f>IF(A145="","",'納品入力_横型'!D20)</x:f>
        <x:v>46120</x:v>
      </x:c>
      <x:c r="E145" s="12" t="str">
        <x:f>IF(A145="","",'納品入力_横型'!A24)</x:f>
        <x:v>配達料</x:v>
      </x:c>
      <x:c r="F145" s="13" t="n">
        <x:f>IF(A145="","",'納品入力_横型'!D24)</x:f>
        <x:v>1</x:v>
      </x:c>
      <x:c r="G145" s="13" t="n">
        <x:f>IF(A145="","",'納品入力_横型'!B24)</x:f>
        <x:v>150</x:v>
      </x:c>
      <x:c r="H145" s="13" t="n">
        <x:f>IF(A145="","",F145*G145)</x:f>
        <x:v>150</x:v>
      </x:c>
      <x:c r="I145" s="12" t="str">
        <x:f>IF(A145="","",INDEX('顧客別単価マスタ'!$E$4:$E$100,MATCH(1,('顧客別単価マスタ'!$A$4:$A$100='納品入力_横型'!$B$4)*('顧客別単価マスタ'!$C$4:$C$100=E145)*IF('顧客別単価マスタ'!$B$4:$B$100="",1,'顧客別単価マスタ'!$B$4:$B$100="S002"),0)))</x:f>
        <x:v>配達料</x:v>
      </x:c>
      <x:c r="J145" s="12" t="str">
        <x:f>IF(A145="","","")</x:f>
      </x:c>
    </x:row>
    <x:row r="146">
      <x:c r="A146" s="12" t="str">
        <x:f>IF(OR('納品入力_横型'!E20="",'納品入力_横型'!E24=""),"",'納品入力_横型'!$E$3)</x:f>
        <x:v>2026年4月</x:v>
      </x:c>
      <x:c r="B146" s="12" t="str">
        <x:f>IF(A146="","",'納品入力_横型'!$B$3)</x:f>
        <x:v>〇〇株式会社</x:v>
      </x:c>
      <x:c r="C146" s="12" t="str">
        <x:f>IF(A146="","","駅前店")</x:f>
        <x:v>駅前店</x:v>
      </x:c>
      <x:c r="D146" s="36" t="n">
        <x:f>IF(A146="","",'納品入力_横型'!E20)</x:f>
        <x:v>46128</x:v>
      </x:c>
      <x:c r="E146" s="12" t="str">
        <x:f>IF(A146="","",'納品入力_横型'!A24)</x:f>
        <x:v>配達料</x:v>
      </x:c>
      <x:c r="F146" s="13" t="n">
        <x:f>IF(A146="","",'納品入力_横型'!E24)</x:f>
        <x:v>1</x:v>
      </x:c>
      <x:c r="G146" s="13" t="n">
        <x:f>IF(A146="","",'納品入力_横型'!B24)</x:f>
        <x:v>150</x:v>
      </x:c>
      <x:c r="H146" s="13" t="n">
        <x:f>IF(A146="","",F146*G146)</x:f>
        <x:v>150</x:v>
      </x:c>
      <x:c r="I146" s="12" t="str">
        <x:f>IF(A146="","",INDEX('顧客別単価マスタ'!$E$4:$E$100,MATCH(1,('顧客別単価マスタ'!$A$4:$A$100='納品入力_横型'!$B$4)*('顧客別単価マスタ'!$C$4:$C$100=E146)*IF('顧客別単価マスタ'!$B$4:$B$100="",1,'顧客別単価マスタ'!$B$4:$B$100="S002"),0)))</x:f>
        <x:v>配達料</x:v>
      </x:c>
      <x:c r="J146" s="12" t="str">
        <x:f>IF(A146="","","")</x:f>
      </x:c>
    </x:row>
    <x:row r="147">
      <x:c r="A147" s="12" t="str">
        <x:f>IF(OR('納品入力_横型'!F20="",'納品入力_横型'!F24=""),"",'納品入力_横型'!$E$3)</x:f>
      </x:c>
      <x:c r="B147" s="12" t="str">
        <x:f>IF(A147="","",'納品入力_横型'!$B$3)</x:f>
      </x:c>
      <x:c r="C147" s="12" t="str">
        <x:f>IF(A147="","","駅前店")</x:f>
      </x:c>
      <x:c r="D147" s="36" t="str">
        <x:f>IF(A147="","",'納品入力_横型'!F20)</x:f>
      </x:c>
      <x:c r="E147" s="12" t="str">
        <x:f>IF(A147="","",'納品入力_横型'!A24)</x:f>
      </x:c>
      <x:c r="F147" s="13" t="str">
        <x:f>IF(A147="","",'納品入力_横型'!F24)</x:f>
      </x:c>
      <x:c r="G147" s="13" t="str">
        <x:f>IF(A147="","",'納品入力_横型'!B24)</x:f>
      </x:c>
      <x:c r="H147" s="13" t="str">
        <x:f>IF(A147="","",F147*G147)</x:f>
      </x:c>
      <x:c r="I147" s="12" t="str">
        <x:f>IF(A147="","",INDEX('顧客別単価マスタ'!$E$4:$E$100,MATCH(1,('顧客別単価マスタ'!$A$4:$A$100='納品入力_横型'!$B$4)*('顧客別単価マスタ'!$C$4:$C$100=E147)*IF('顧客別単価マスタ'!$B$4:$B$100="",1,'顧客別単価マスタ'!$B$4:$B$100="S002"),0)))</x:f>
      </x:c>
      <x:c r="J147" s="12" t="str">
        <x:f>IF(A147="","","")</x:f>
      </x:c>
    </x:row>
    <x:row r="148">
      <x:c r="A148" s="12" t="str">
        <x:f>IF(OR('納品入力_横型'!G20="",'納品入力_横型'!G24=""),"",'納品入力_横型'!$E$3)</x:f>
      </x:c>
      <x:c r="B148" s="12" t="str">
        <x:f>IF(A148="","",'納品入力_横型'!$B$3)</x:f>
      </x:c>
      <x:c r="C148" s="12" t="str">
        <x:f>IF(A148="","","駅前店")</x:f>
      </x:c>
      <x:c r="D148" s="36" t="str">
        <x:f>IF(A148="","",'納品入力_横型'!G20)</x:f>
      </x:c>
      <x:c r="E148" s="12" t="str">
        <x:f>IF(A148="","",'納品入力_横型'!A24)</x:f>
      </x:c>
      <x:c r="F148" s="13" t="str">
        <x:f>IF(A148="","",'納品入力_横型'!G24)</x:f>
      </x:c>
      <x:c r="G148" s="13" t="str">
        <x:f>IF(A148="","",'納品入力_横型'!B24)</x:f>
      </x:c>
      <x:c r="H148" s="13" t="str">
        <x:f>IF(A148="","",F148*G148)</x:f>
      </x:c>
      <x:c r="I148" s="12" t="str">
        <x:f>IF(A148="","",INDEX('顧客別単価マスタ'!$E$4:$E$100,MATCH(1,('顧客別単価マスタ'!$A$4:$A$100='納品入力_横型'!$B$4)*('顧客別単価マスタ'!$C$4:$C$100=E148)*IF('顧客別単価マスタ'!$B$4:$B$100="",1,'顧客別単価マスタ'!$B$4:$B$100="S002"),0)))</x:f>
      </x:c>
      <x:c r="J148" s="12" t="str">
        <x:f>IF(A148="","","")</x:f>
      </x:c>
    </x:row>
    <x:row r="149">
      <x:c r="A149" s="12" t="str">
        <x:f>IF(OR('納品入力_横型'!H20="",'納品入力_横型'!H24=""),"",'納品入力_横型'!$E$3)</x:f>
      </x:c>
      <x:c r="B149" s="12" t="str">
        <x:f>IF(A149="","",'納品入力_横型'!$B$3)</x:f>
      </x:c>
      <x:c r="C149" s="12" t="str">
        <x:f>IF(A149="","","駅前店")</x:f>
      </x:c>
      <x:c r="D149" s="36" t="str">
        <x:f>IF(A149="","",'納品入力_横型'!H20)</x:f>
      </x:c>
      <x:c r="E149" s="12" t="str">
        <x:f>IF(A149="","",'納品入力_横型'!A24)</x:f>
      </x:c>
      <x:c r="F149" s="13" t="str">
        <x:f>IF(A149="","",'納品入力_横型'!H24)</x:f>
      </x:c>
      <x:c r="G149" s="13" t="str">
        <x:f>IF(A149="","",'納品入力_横型'!B24)</x:f>
      </x:c>
      <x:c r="H149" s="13" t="str">
        <x:f>IF(A149="","",F149*G149)</x:f>
      </x:c>
      <x:c r="I149" s="12" t="str">
        <x:f>IF(A149="","",INDEX('顧客別単価マスタ'!$E$4:$E$100,MATCH(1,('顧客別単価マスタ'!$A$4:$A$100='納品入力_横型'!$B$4)*('顧客別単価マスタ'!$C$4:$C$100=E149)*IF('顧客別単価マスタ'!$B$4:$B$100="",1,'顧客別単価マスタ'!$B$4:$B$100="S002"),0)))</x:f>
      </x:c>
      <x:c r="J149" s="12" t="str">
        <x:f>IF(A149="","","")</x:f>
      </x:c>
    </x:row>
    <x:row r="150">
      <x:c r="A150" s="12" t="str">
        <x:f>IF(OR('納品入力_横型'!I20="",'納品入力_横型'!I24=""),"",'納品入力_横型'!$E$3)</x:f>
      </x:c>
      <x:c r="B150" s="12" t="str">
        <x:f>IF(A150="","",'納品入力_横型'!$B$3)</x:f>
      </x:c>
      <x:c r="C150" s="12" t="str">
        <x:f>IF(A150="","","駅前店")</x:f>
      </x:c>
      <x:c r="D150" s="36" t="str">
        <x:f>IF(A150="","",'納品入力_横型'!I20)</x:f>
      </x:c>
      <x:c r="E150" s="12" t="str">
        <x:f>IF(A150="","",'納品入力_横型'!A24)</x:f>
      </x:c>
      <x:c r="F150" s="13" t="str">
        <x:f>IF(A150="","",'納品入力_横型'!I24)</x:f>
      </x:c>
      <x:c r="G150" s="13" t="str">
        <x:f>IF(A150="","",'納品入力_横型'!B24)</x:f>
      </x:c>
      <x:c r="H150" s="13" t="str">
        <x:f>IF(A150="","",F150*G150)</x:f>
      </x:c>
      <x:c r="I150" s="12" t="str">
        <x:f>IF(A150="","",INDEX('顧客別単価マスタ'!$E$4:$E$100,MATCH(1,('顧客別単価マスタ'!$A$4:$A$100='納品入力_横型'!$B$4)*('顧客別単価マスタ'!$C$4:$C$100=E150)*IF('顧客別単価マスタ'!$B$4:$B$100="",1,'顧客別単価マスタ'!$B$4:$B$100="S002"),0)))</x:f>
      </x:c>
      <x:c r="J150" s="12" t="str">
        <x:f>IF(A150="","","")</x:f>
      </x:c>
    </x:row>
    <x:row r="151">
      <x:c r="A151" s="12" t="str">
        <x:f>IF(OR('納品入力_横型'!J20="",'納品入力_横型'!J24=""),"",'納品入力_横型'!$E$3)</x:f>
      </x:c>
      <x:c r="B151" s="12" t="str">
        <x:f>IF(A151="","",'納品入力_横型'!$B$3)</x:f>
      </x:c>
      <x:c r="C151" s="12" t="str">
        <x:f>IF(A151="","","駅前店")</x:f>
      </x:c>
      <x:c r="D151" s="36" t="str">
        <x:f>IF(A151="","",'納品入力_横型'!J20)</x:f>
      </x:c>
      <x:c r="E151" s="12" t="str">
        <x:f>IF(A151="","",'納品入力_横型'!A24)</x:f>
      </x:c>
      <x:c r="F151" s="13" t="str">
        <x:f>IF(A151="","",'納品入力_横型'!J24)</x:f>
      </x:c>
      <x:c r="G151" s="13" t="str">
        <x:f>IF(A151="","",'納品入力_横型'!B24)</x:f>
      </x:c>
      <x:c r="H151" s="13" t="str">
        <x:f>IF(A151="","",F151*G151)</x:f>
      </x:c>
      <x:c r="I151" s="12" t="str">
        <x:f>IF(A151="","",INDEX('顧客別単価マスタ'!$E$4:$E$100,MATCH(1,('顧客別単価マスタ'!$A$4:$A$100='納品入力_横型'!$B$4)*('顧客別単価マスタ'!$C$4:$C$100=E151)*IF('顧客別単価マスタ'!$B$4:$B$100="",1,'顧客別単価マスタ'!$B$4:$B$100="S002"),0)))</x:f>
      </x:c>
      <x:c r="J151" s="12" t="str">
        <x:f>IF(A151="","","")</x:f>
      </x:c>
    </x:row>
    <x:row r="152">
      <x:c r="A152" s="12" t="str">
        <x:f>IF(OR('納品入力_横型'!K20="",'納品入力_横型'!K24=""),"",'納品入力_横型'!$E$3)</x:f>
      </x:c>
      <x:c r="B152" s="12" t="str">
        <x:f>IF(A152="","",'納品入力_横型'!$B$3)</x:f>
      </x:c>
      <x:c r="C152" s="12" t="str">
        <x:f>IF(A152="","","駅前店")</x:f>
      </x:c>
      <x:c r="D152" s="36" t="str">
        <x:f>IF(A152="","",'納品入力_横型'!K20)</x:f>
      </x:c>
      <x:c r="E152" s="12" t="str">
        <x:f>IF(A152="","",'納品入力_横型'!A24)</x:f>
      </x:c>
      <x:c r="F152" s="13" t="str">
        <x:f>IF(A152="","",'納品入力_横型'!K24)</x:f>
      </x:c>
      <x:c r="G152" s="13" t="str">
        <x:f>IF(A152="","",'納品入力_横型'!B24)</x:f>
      </x:c>
      <x:c r="H152" s="13" t="str">
        <x:f>IF(A152="","",F152*G152)</x:f>
      </x:c>
      <x:c r="I152" s="12" t="str">
        <x:f>IF(A152="","",INDEX('顧客別単価マスタ'!$E$4:$E$100,MATCH(1,('顧客別単価マスタ'!$A$4:$A$100='納品入力_横型'!$B$4)*('顧客別単価マスタ'!$C$4:$C$100=E152)*IF('顧客別単価マスタ'!$B$4:$B$100="",1,'顧客別単価マスタ'!$B$4:$B$100="S002"),0)))</x:f>
      </x:c>
      <x:c r="J152" s="12" t="str">
        <x:f>IF(A152="","","")</x:f>
      </x:c>
    </x:row>
    <x:row r="153">
      <x:c r="A153" s="12" t="str">
        <x:f>IF(OR('納品入力_横型'!L20="",'納品入力_横型'!L24=""),"",'納品入力_横型'!$E$3)</x:f>
      </x:c>
      <x:c r="B153" s="12" t="str">
        <x:f>IF(A153="","",'納品入力_横型'!$B$3)</x:f>
      </x:c>
      <x:c r="C153" s="12" t="str">
        <x:f>IF(A153="","","駅前店")</x:f>
      </x:c>
      <x:c r="D153" s="36" t="str">
        <x:f>IF(A153="","",'納品入力_横型'!L20)</x:f>
      </x:c>
      <x:c r="E153" s="12" t="str">
        <x:f>IF(A153="","",'納品入力_横型'!A24)</x:f>
      </x:c>
      <x:c r="F153" s="13" t="str">
        <x:f>IF(A153="","",'納品入力_横型'!L24)</x:f>
      </x:c>
      <x:c r="G153" s="13" t="str">
        <x:f>IF(A153="","",'納品入力_横型'!B24)</x:f>
      </x:c>
      <x:c r="H153" s="13" t="str">
        <x:f>IF(A153="","",F153*G153)</x:f>
      </x:c>
      <x:c r="I153" s="12" t="str">
        <x:f>IF(A153="","",INDEX('顧客別単価マスタ'!$E$4:$E$100,MATCH(1,('顧客別単価マスタ'!$A$4:$A$100='納品入力_横型'!$B$4)*('顧客別単価マスタ'!$C$4:$C$100=E153)*IF('顧客別単価マスタ'!$B$4:$B$100="",1,'顧客別単価マスタ'!$B$4:$B$100="S002"),0)))</x:f>
      </x:c>
      <x:c r="J153" s="12" t="str">
        <x:f>IF(A153="","","")</x:f>
      </x:c>
    </x:row>
    <x:row r="154">
      <x:c r="A154" s="12" t="str">
        <x:f>IF(OR('納品入力_横型'!M20="",'納品入力_横型'!M24=""),"",'納品入力_横型'!$E$3)</x:f>
      </x:c>
      <x:c r="B154" s="12" t="str">
        <x:f>IF(A154="","",'納品入力_横型'!$B$3)</x:f>
      </x:c>
      <x:c r="C154" s="12" t="str">
        <x:f>IF(A154="","","駅前店")</x:f>
      </x:c>
      <x:c r="D154" s="36" t="str">
        <x:f>IF(A154="","",'納品入力_横型'!M20)</x:f>
      </x:c>
      <x:c r="E154" s="12" t="str">
        <x:f>IF(A154="","",'納品入力_横型'!A24)</x:f>
      </x:c>
      <x:c r="F154" s="13" t="str">
        <x:f>IF(A154="","",'納品入力_横型'!M24)</x:f>
      </x:c>
      <x:c r="G154" s="13" t="str">
        <x:f>IF(A154="","",'納品入力_横型'!B24)</x:f>
      </x:c>
      <x:c r="H154" s="13" t="str">
        <x:f>IF(A154="","",F154*G154)</x:f>
      </x:c>
      <x:c r="I154" s="12" t="str">
        <x:f>IF(A154="","",INDEX('顧客別単価マスタ'!$E$4:$E$100,MATCH(1,('顧客別単価マスタ'!$A$4:$A$100='納品入力_横型'!$B$4)*('顧客別単価マスタ'!$C$4:$C$100=E154)*IF('顧客別単価マスタ'!$B$4:$B$100="",1,'顧客別単価マスタ'!$B$4:$B$100="S002"),0)))</x:f>
      </x:c>
      <x:c r="J154" s="12" t="str">
        <x:f>IF(A154="","","")</x:f>
      </x:c>
    </x:row>
    <x:row r="155">
      <x:c r="A155" s="12" t="str">
        <x:f>IF(OR('納品入力_横型'!N20="",'納品入力_横型'!N24=""),"",'納品入力_横型'!$E$3)</x:f>
      </x:c>
      <x:c r="B155" s="12" t="str">
        <x:f>IF(A155="","",'納品入力_横型'!$B$3)</x:f>
      </x:c>
      <x:c r="C155" s="12" t="str">
        <x:f>IF(A155="","","駅前店")</x:f>
      </x:c>
      <x:c r="D155" s="36" t="str">
        <x:f>IF(A155="","",'納品入力_横型'!N20)</x:f>
      </x:c>
      <x:c r="E155" s="12" t="str">
        <x:f>IF(A155="","",'納品入力_横型'!A24)</x:f>
      </x:c>
      <x:c r="F155" s="13" t="str">
        <x:f>IF(A155="","",'納品入力_横型'!N24)</x:f>
      </x:c>
      <x:c r="G155" s="13" t="str">
        <x:f>IF(A155="","",'納品入力_横型'!B24)</x:f>
      </x:c>
      <x:c r="H155" s="13" t="str">
        <x:f>IF(A155="","",F155*G155)</x:f>
      </x:c>
      <x:c r="I155" s="12" t="str">
        <x:f>IF(A155="","",INDEX('顧客別単価マスタ'!$E$4:$E$100,MATCH(1,('顧客別単価マスタ'!$A$4:$A$100='納品入力_横型'!$B$4)*('顧客別単価マスタ'!$C$4:$C$100=E155)*IF('顧客別単価マスタ'!$B$4:$B$100="",1,'顧客別単価マスタ'!$B$4:$B$100="S002"),0)))</x:f>
      </x:c>
      <x:c r="J155" s="12" t="str">
        <x:f>IF(A155="","","")</x:f>
      </x:c>
    </x:row>
    <x:row r="156">
      <x:c r="A156" s="12" t="str">
        <x:f>IF(OR('納品入力_横型'!O20="",'納品入力_横型'!O24=""),"",'納品入力_横型'!$E$3)</x:f>
      </x:c>
      <x:c r="B156" s="12" t="str">
        <x:f>IF(A156="","",'納品入力_横型'!$B$3)</x:f>
      </x:c>
      <x:c r="C156" s="12" t="str">
        <x:f>IF(A156="","","駅前店")</x:f>
      </x:c>
      <x:c r="D156" s="36" t="str">
        <x:f>IF(A156="","",'納品入力_横型'!O20)</x:f>
      </x:c>
      <x:c r="E156" s="12" t="str">
        <x:f>IF(A156="","",'納品入力_横型'!A24)</x:f>
      </x:c>
      <x:c r="F156" s="13" t="str">
        <x:f>IF(A156="","",'納品入力_横型'!O24)</x:f>
      </x:c>
      <x:c r="G156" s="13" t="str">
        <x:f>IF(A156="","",'納品入力_横型'!B24)</x:f>
      </x:c>
      <x:c r="H156" s="13" t="str">
        <x:f>IF(A156="","",F156*G156)</x:f>
      </x:c>
      <x:c r="I156" s="12" t="str">
        <x:f>IF(A156="","",INDEX('顧客別単価マスタ'!$E$4:$E$100,MATCH(1,('顧客別単価マスタ'!$A$4:$A$100='納品入力_横型'!$B$4)*('顧客別単価マスタ'!$C$4:$C$100=E156)*IF('顧客別単価マスタ'!$B$4:$B$100="",1,'顧客別単価マスタ'!$B$4:$B$100="S002"),0)))</x:f>
      </x:c>
      <x:c r="J156" s="12" t="str">
        <x:f>IF(A156="","","")</x:f>
      </x:c>
    </x:row>
    <x:row r="157">
      <x:c r="A157" s="12" t="str">
        <x:f>IF(OR('納品入力_横型'!P20="",'納品入力_横型'!P24=""),"",'納品入力_横型'!$E$3)</x:f>
      </x:c>
      <x:c r="B157" s="12" t="str">
        <x:f>IF(A157="","",'納品入力_横型'!$B$3)</x:f>
      </x:c>
      <x:c r="C157" s="12" t="str">
        <x:f>IF(A157="","","駅前店")</x:f>
      </x:c>
      <x:c r="D157" s="36" t="str">
        <x:f>IF(A157="","",'納品入力_横型'!P20)</x:f>
      </x:c>
      <x:c r="E157" s="12" t="str">
        <x:f>IF(A157="","",'納品入力_横型'!A24)</x:f>
      </x:c>
      <x:c r="F157" s="13" t="str">
        <x:f>IF(A157="","",'納品入力_横型'!P24)</x:f>
      </x:c>
      <x:c r="G157" s="13" t="str">
        <x:f>IF(A157="","",'納品入力_横型'!B24)</x:f>
      </x:c>
      <x:c r="H157" s="13" t="str">
        <x:f>IF(A157="","",F157*G157)</x:f>
      </x:c>
      <x:c r="I157" s="12" t="str">
        <x:f>IF(A157="","",INDEX('顧客別単価マスタ'!$E$4:$E$100,MATCH(1,('顧客別単価マスタ'!$A$4:$A$100='納品入力_横型'!$B$4)*('顧客別単価マスタ'!$C$4:$C$100=E157)*IF('顧客別単価マスタ'!$B$4:$B$100="",1,'顧客別単価マスタ'!$B$4:$B$100="S002"),0)))</x:f>
      </x:c>
      <x:c r="J157" s="12" t="str">
        <x:f>IF(A157="","","")</x:f>
      </x:c>
    </x:row>
    <x:row r="158">
      <x:c r="A158" s="12" t="str">
        <x:f>IF(OR('納品入力_横型'!Q20="",'納品入力_横型'!Q24=""),"",'納品入力_横型'!$E$3)</x:f>
      </x:c>
      <x:c r="B158" s="12" t="str">
        <x:f>IF(A158="","",'納品入力_横型'!$B$3)</x:f>
      </x:c>
      <x:c r="C158" s="12" t="str">
        <x:f>IF(A158="","","駅前店")</x:f>
      </x:c>
      <x:c r="D158" s="36" t="str">
        <x:f>IF(A158="","",'納品入力_横型'!Q20)</x:f>
      </x:c>
      <x:c r="E158" s="12" t="str">
        <x:f>IF(A158="","",'納品入力_横型'!A24)</x:f>
      </x:c>
      <x:c r="F158" s="13" t="str">
        <x:f>IF(A158="","",'納品入力_横型'!Q24)</x:f>
      </x:c>
      <x:c r="G158" s="13" t="str">
        <x:f>IF(A158="","",'納品入力_横型'!B24)</x:f>
      </x:c>
      <x:c r="H158" s="13" t="str">
        <x:f>IF(A158="","",F158*G158)</x:f>
      </x:c>
      <x:c r="I158" s="12" t="str">
        <x:f>IF(A158="","",INDEX('顧客別単価マスタ'!$E$4:$E$100,MATCH(1,('顧客別単価マスタ'!$A$4:$A$100='納品入力_横型'!$B$4)*('顧客別単価マスタ'!$C$4:$C$100=E158)*IF('顧客別単価マスタ'!$B$4:$B$100="",1,'顧客別単価マスタ'!$B$4:$B$100="S002"),0)))</x:f>
      </x:c>
      <x:c r="J158" s="12" t="str">
        <x:f>IF(A158="","","")</x:f>
      </x:c>
    </x:row>
    <x:row r="159">
      <x:c r="A159" s="12" t="str">
        <x:f>IF(OR('納品入力_横型'!R20="",'納品入力_横型'!R24=""),"",'納品入力_横型'!$E$3)</x:f>
      </x:c>
      <x:c r="B159" s="12" t="str">
        <x:f>IF(A159="","",'納品入力_横型'!$B$3)</x:f>
      </x:c>
      <x:c r="C159" s="12" t="str">
        <x:f>IF(A159="","","駅前店")</x:f>
      </x:c>
      <x:c r="D159" s="36" t="str">
        <x:f>IF(A159="","",'納品入力_横型'!R20)</x:f>
      </x:c>
      <x:c r="E159" s="12" t="str">
        <x:f>IF(A159="","",'納品入力_横型'!A24)</x:f>
      </x:c>
      <x:c r="F159" s="13" t="str">
        <x:f>IF(A159="","",'納品入力_横型'!R24)</x:f>
      </x:c>
      <x:c r="G159" s="13" t="str">
        <x:f>IF(A159="","",'納品入力_横型'!B24)</x:f>
      </x:c>
      <x:c r="H159" s="13" t="str">
        <x:f>IF(A159="","",F159*G159)</x:f>
      </x:c>
      <x:c r="I159" s="12" t="str">
        <x:f>IF(A159="","",INDEX('顧客別単価マスタ'!$E$4:$E$100,MATCH(1,('顧客別単価マスタ'!$A$4:$A$100='納品入力_横型'!$B$4)*('顧客別単価マスタ'!$C$4:$C$100=E159)*IF('顧客別単価マスタ'!$B$4:$B$100="",1,'顧客別単価マスタ'!$B$4:$B$100="S002"),0)))</x:f>
      </x:c>
      <x:c r="J159" s="12" t="str">
        <x:f>IF(A159="","","")</x:f>
      </x:c>
    </x:row>
    <x:row r="160">
      <x:c r="A160" s="12" t="str">
        <x:f>IF(OR('納品入力_横型'!S20="",'納品入力_横型'!S24=""),"",'納品入力_横型'!$E$3)</x:f>
      </x:c>
      <x:c r="B160" s="12" t="str">
        <x:f>IF(A160="","",'納品入力_横型'!$B$3)</x:f>
      </x:c>
      <x:c r="C160" s="12" t="str">
        <x:f>IF(A160="","","駅前店")</x:f>
      </x:c>
      <x:c r="D160" s="36" t="str">
        <x:f>IF(A160="","",'納品入力_横型'!S20)</x:f>
      </x:c>
      <x:c r="E160" s="12" t="str">
        <x:f>IF(A160="","",'納品入力_横型'!A24)</x:f>
      </x:c>
      <x:c r="F160" s="13" t="str">
        <x:f>IF(A160="","",'納品入力_横型'!S24)</x:f>
      </x:c>
      <x:c r="G160" s="13" t="str">
        <x:f>IF(A160="","",'納品入力_横型'!B24)</x:f>
      </x:c>
      <x:c r="H160" s="13" t="str">
        <x:f>IF(A160="","",F160*G160)</x:f>
      </x:c>
      <x:c r="I160" s="12" t="str">
        <x:f>IF(A160="","",INDEX('顧客別単価マスタ'!$E$4:$E$100,MATCH(1,('顧客別単価マスタ'!$A$4:$A$100='納品入力_横型'!$B$4)*('顧客別単価マスタ'!$C$4:$C$100=E160)*IF('顧客別単価マスタ'!$B$4:$B$100="",1,'顧客別単価マスタ'!$B$4:$B$100="S002"),0)))</x:f>
      </x:c>
      <x:c r="J160" s="12" t="str">
        <x:f>IF(A160="","","")</x:f>
      </x:c>
    </x:row>
    <x:row r="161">
      <x:c r="A161" s="12" t="str">
        <x:f>IF(OR('納品入力_横型'!T20="",'納品入力_横型'!T24=""),"",'納品入力_横型'!$E$3)</x:f>
      </x:c>
      <x:c r="B161" s="12" t="str">
        <x:f>IF(A161="","",'納品入力_横型'!$B$3)</x:f>
      </x:c>
      <x:c r="C161" s="12" t="str">
        <x:f>IF(A161="","","駅前店")</x:f>
      </x:c>
      <x:c r="D161" s="36" t="str">
        <x:f>IF(A161="","",'納品入力_横型'!T20)</x:f>
      </x:c>
      <x:c r="E161" s="12" t="str">
        <x:f>IF(A161="","",'納品入力_横型'!A24)</x:f>
      </x:c>
      <x:c r="F161" s="13" t="str">
        <x:f>IF(A161="","",'納品入力_横型'!T24)</x:f>
      </x:c>
      <x:c r="G161" s="13" t="str">
        <x:f>IF(A161="","",'納品入力_横型'!B24)</x:f>
      </x:c>
      <x:c r="H161" s="13" t="str">
        <x:f>IF(A161="","",F161*G161)</x:f>
      </x:c>
      <x:c r="I161" s="12" t="str">
        <x:f>IF(A161="","",INDEX('顧客別単価マスタ'!$E$4:$E$100,MATCH(1,('顧客別単価マスタ'!$A$4:$A$100='納品入力_横型'!$B$4)*('顧客別単価マスタ'!$C$4:$C$100=E161)*IF('顧客別単価マスタ'!$B$4:$B$100="",1,'顧客別単価マスタ'!$B$4:$B$100="S002"),0)))</x:f>
      </x:c>
      <x:c r="J161" s="12" t="str">
        <x:f>IF(A161="","","")</x:f>
      </x:c>
    </x:row>
    <x:row r="162">
      <x:c r="A162" s="12" t="str">
        <x:f>IF(OR('納品入力_横型'!U20="",'納品入力_横型'!U24=""),"",'納品入力_横型'!$E$3)</x:f>
      </x:c>
      <x:c r="B162" s="12" t="str">
        <x:f>IF(A162="","",'納品入力_横型'!$B$3)</x:f>
      </x:c>
      <x:c r="C162" s="12" t="str">
        <x:f>IF(A162="","","駅前店")</x:f>
      </x:c>
      <x:c r="D162" s="36" t="str">
        <x:f>IF(A162="","",'納品入力_横型'!U20)</x:f>
      </x:c>
      <x:c r="E162" s="12" t="str">
        <x:f>IF(A162="","",'納品入力_横型'!A24)</x:f>
      </x:c>
      <x:c r="F162" s="13" t="str">
        <x:f>IF(A162="","",'納品入力_横型'!U24)</x:f>
      </x:c>
      <x:c r="G162" s="13" t="str">
        <x:f>IF(A162="","",'納品入力_横型'!B24)</x:f>
      </x:c>
      <x:c r="H162" s="13" t="str">
        <x:f>IF(A162="","",F162*G162)</x:f>
      </x:c>
      <x:c r="I162" s="12" t="str">
        <x:f>IF(A162="","",INDEX('顧客別単価マスタ'!$E$4:$E$100,MATCH(1,('顧客別単価マスタ'!$A$4:$A$100='納品入力_横型'!$B$4)*('顧客別単価マスタ'!$C$4:$C$100=E162)*IF('顧客別単価マスタ'!$B$4:$B$100="",1,'顧客別単価マスタ'!$B$4:$B$100="S002"),0)))</x:f>
      </x:c>
      <x:c r="J162" s="12" t="str">
        <x:f>IF(A162="","","")</x:f>
      </x:c>
    </x:row>
    <x:row r="163">
      <x:c r="A163" s="12" t="str">
        <x:f>IF(OR('納品入力_横型'!V20="",'納品入力_横型'!V24=""),"",'納品入力_横型'!$E$3)</x:f>
      </x:c>
      <x:c r="B163" s="12" t="str">
        <x:f>IF(A163="","",'納品入力_横型'!$B$3)</x:f>
      </x:c>
      <x:c r="C163" s="12" t="str">
        <x:f>IF(A163="","","駅前店")</x:f>
      </x:c>
      <x:c r="D163" s="36" t="str">
        <x:f>IF(A163="","",'納品入力_横型'!V20)</x:f>
      </x:c>
      <x:c r="E163" s="12" t="str">
        <x:f>IF(A163="","",'納品入力_横型'!A24)</x:f>
      </x:c>
      <x:c r="F163" s="13" t="str">
        <x:f>IF(A163="","",'納品入力_横型'!V24)</x:f>
      </x:c>
      <x:c r="G163" s="13" t="str">
        <x:f>IF(A163="","",'納品入力_横型'!B24)</x:f>
      </x:c>
      <x:c r="H163" s="13" t="str">
        <x:f>IF(A163="","",F163*G163)</x:f>
      </x:c>
      <x:c r="I163" s="12" t="str">
        <x:f>IF(A163="","",INDEX('顧客別単価マスタ'!$E$4:$E$100,MATCH(1,('顧客別単価マスタ'!$A$4:$A$100='納品入力_横型'!$B$4)*('顧客別単価マスタ'!$C$4:$C$100=E163)*IF('顧客別単価マスタ'!$B$4:$B$100="",1,'顧客別単価マスタ'!$B$4:$B$100="S002"),0)))</x:f>
      </x:c>
      <x:c r="J163" s="12" t="str">
        <x:f>IF(A163="","","")</x:f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0000305175781" hidden="0" customWidth="1"/>
    <x:col min="2" max="2" width="21.469999313354492" hidden="0" customWidth="1"/>
    <x:col min="3" max="3" width="9.199999809265137" hidden="0" customWidth="1"/>
    <x:col min="4" max="4" width="10.430000305175781" hidden="0" customWidth="1"/>
    <x:col min="5" max="5" width="7.980000019073486" hidden="0" customWidth="1"/>
    <x:col min="6" max="6" width="6.75" hidden="0" customWidth="1"/>
    <x:col min="7" max="7" width="10.430000305175781" hidden="0" customWidth="1"/>
    <x:col min="8" max="8" width="28.829999923706055" hidden="0" customWidth="1"/>
    <x:col min="9" max="9" width="22.700000762939453" hidden="0" customWidth="1"/>
    <x:col min="10" max="10" width="16.559999465942383" hidden="0" customWidth="1"/>
    <x:col min="11" max="11" width="21.469999313354492" hidden="0" customWidth="1"/>
  </x:cols>
  <x:sheetData>
    <x:row r="1">
      <x:c r="A1" s="4" t="str">
        <x:v>顧客マスタ</x:v>
      </x:c>
      <x:c r="B1" s="4" t="str">
        <x:v>顧客マスタ</x:v>
      </x:c>
      <x:c r="C1" s="4" t="str">
        <x:v>顧客マスタ</x:v>
      </x:c>
      <x:c r="D1" s="4" t="str">
        <x:v>顧客マスタ</x:v>
      </x:c>
      <x:c r="E1" s="4" t="str">
        <x:v>顧客マスタ</x:v>
      </x:c>
      <x:c r="F1" s="4" t="str">
        <x:v>顧客マスタ</x:v>
      </x:c>
      <x:c r="G1" s="4" t="str">
        <x:v>顧客マスタ</x:v>
      </x:c>
      <x:c r="H1" s="4" t="str">
        <x:v>顧客マスタ</x:v>
      </x:c>
      <x:c r="I1" s="4" t="str">
        <x:v>顧客マスタ</x:v>
      </x:c>
      <x:c r="J1" s="4" t="str">
        <x:v>顧客マスタ</x:v>
      </x:c>
      <x:c r="K1" s="4" t="str">
        <x:v>顧客マスタ</x:v>
      </x:c>
    </x:row>
    <x:row r="3">
      <x:c r="A3" s="10" t="str">
        <x:v>顧客ID</x:v>
      </x:c>
      <x:c r="B3" s="10" t="str">
        <x:v>請求先名</x:v>
      </x:c>
      <x:c r="C3" s="10" t="str">
        <x:v>支払区分</x:v>
      </x:c>
      <x:c r="D3" s="10" t="str">
        <x:v>送付方法</x:v>
      </x:c>
      <x:c r="E3" s="10" t="str">
        <x:v>締日</x:v>
      </x:c>
      <x:c r="F3" s="10" t="str">
        <x:v>敬称</x:v>
      </x:c>
      <x:c r="G3" s="10" t="str">
        <x:v>郵便番号</x:v>
      </x:c>
      <x:c r="H3" s="10" t="str">
        <x:v>住所</x:v>
      </x:c>
      <x:c r="I3" s="10" t="str">
        <x:v>メール</x:v>
      </x:c>
      <x:c r="J3" s="10" t="str">
        <x:v>LINE名</x:v>
      </x:c>
      <x:c r="K3" s="10" t="str">
        <x:v>備考</x:v>
      </x:c>
    </x:row>
    <x:row r="4">
      <x:c r="A4" s="12" t="str">
        <x:v>CUST001</x:v>
      </x:c>
      <x:c r="B4" s="12" t="str">
        <x:v>〇〇株式会社</x:v>
      </x:c>
      <x:c r="C4" s="12" t="str">
        <x:v>振込</x:v>
      </x:c>
      <x:c r="D4" s="12" t="str">
        <x:v>Gmail</x:v>
      </x:c>
      <x:c r="E4" s="12" t="str">
        <x:v>月末</x:v>
      </x:c>
      <x:c r="F4" s="12" t="str">
        <x:v>御中</x:v>
      </x:c>
      <x:c r="G4" s="12" t="str">
        <x:v>100-0001</x:v>
      </x:c>
      <x:c r="H4" s="12" t="str">
        <x:v>東京都千代田区丸の内1-1-1</x:v>
      </x:c>
      <x:c r="I4" s="12" t="str">
        <x:v>billing@example.com</x:v>
      </x:c>
      <x:c r="J4" s="12" t="str">
        <x:v>〇〇株式会社</x:v>
      </x:c>
      <x:c r="K4" s="12" t="str">
        <x:v>系列2店舗</x:v>
      </x:c>
    </x:row>
    <x:row r="5">
      <x:c r="A5" s="12" t="str">
        <x:v>CUST002</x:v>
      </x:c>
      <x:c r="B5" s="12" t="str">
        <x:v>現金テスト商店</x:v>
      </x:c>
      <x:c r="C5" s="12" t="str">
        <x:v>現金</x:v>
      </x:c>
      <x:c r="D5" s="12" t="str">
        <x:v>手渡し</x:v>
      </x:c>
      <x:c r="E5" s="12" t="str">
        <x:v>月末</x:v>
      </x:c>
      <x:c r="F5" s="12" t="str">
        <x:v>様</x:v>
      </x:c>
      <x:c r="G5" s="12" t="str">
        <x:v>160-0001</x:v>
      </x:c>
      <x:c r="H5" s="12" t="str">
        <x:v>東京都新宿区新宿1-1-1</x:v>
      </x:c>
      <x:c r="I5" s="12" t="str"/>
      <x:c r="J5" s="12" t="str"/>
      <x:c r="K5" s="12" t="str">
        <x:v>将来分離用サンプル</x:v>
      </x:c>
    </x:row>
  </x:sheetData>
  <x:mergeCells>
    <x:mergeCell ref="A1:K1"/>
  </x:mergeCells>
  <x:dataValidations count="2">
    <x:dataValidation type="list" allowBlank="0" showDropDown="0" sqref="C4:C100">
      <x:formula1>"振込,現金"</x:formula1>
    </x:dataValidation>
    <x:dataValidation type="list" allowBlank="0" showDropDown="0" sqref="D4:D100">
      <x:formula1>"Gmail,LINE,手渡し,郵送"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0000305175781" hidden="0" customWidth="1"/>
    <x:col min="2" max="2" width="10.430000305175781" hidden="0" customWidth="1"/>
    <x:col min="3" max="3" width="16.559999465942383" hidden="0" customWidth="1"/>
    <x:col min="4" max="4" width="7.980000019073486" hidden="0" customWidth="1"/>
    <x:col min="5" max="5" width="21.469999313354492" hidden="0" customWidth="1"/>
  </x:cols>
  <x:sheetData>
    <x:row r="1">
      <x:c r="A1" s="4" t="str">
        <x:v>店舗マスタ</x:v>
      </x:c>
      <x:c r="B1" s="4" t="str">
        <x:v>店舗マスタ</x:v>
      </x:c>
      <x:c r="C1" s="4" t="str">
        <x:v>店舗マスタ</x:v>
      </x:c>
      <x:c r="D1" s="4" t="str">
        <x:v>店舗マスタ</x:v>
      </x:c>
      <x:c r="E1" s="4" t="str">
        <x:v>店舗マスタ</x:v>
      </x:c>
    </x:row>
    <x:row r="3">
      <x:c r="A3" s="10" t="str">
        <x:v>店舗ID</x:v>
      </x:c>
      <x:c r="B3" s="10" t="str">
        <x:v>顧客ID</x:v>
      </x:c>
      <x:c r="C3" s="10" t="str">
        <x:v>店舗名</x:v>
      </x:c>
      <x:c r="D3" s="10" t="str">
        <x:v>表示順</x:v>
      </x:c>
      <x:c r="E3" s="10" t="str">
        <x:v>備考</x:v>
      </x:c>
    </x:row>
    <x:row r="4">
      <x:c r="A4" s="12" t="str">
        <x:v>S001</x:v>
      </x:c>
      <x:c r="B4" s="12" t="str">
        <x:v>CUST001</x:v>
      </x:c>
      <x:c r="C4" s="12" t="str">
        <x:v>本店</x:v>
      </x:c>
      <x:c r="D4" s="12" t="n">
        <x:v>1</x:v>
      </x:c>
      <x:c r="E4" s="12" t="str">
        <x:v>顧客共通単価を利用</x:v>
      </x:c>
    </x:row>
    <x:row r="5">
      <x:c r="A5" s="12" t="str">
        <x:v>S002</x:v>
      </x:c>
      <x:c r="B5" s="12" t="str">
        <x:v>CUST001</x:v>
      </x:c>
      <x:c r="C5" s="12" t="str">
        <x:v>駅前店</x:v>
      </x:c>
      <x:c r="D5" s="12" t="n">
        <x:v>2</x:v>
      </x:c>
      <x:c r="E5" s="12" t="str">
        <x:v>一部店舗別単価</x:v>
      </x:c>
    </x:row>
    <x:row r="6">
      <x:c r="A6" s="12" t="str">
        <x:v>S003</x:v>
      </x:c>
      <x:c r="B6" s="12" t="str">
        <x:v>CUST002</x:v>
      </x:c>
      <x:c r="C6" s="12" t="str">
        <x:v>本店</x:v>
      </x:c>
      <x:c r="D6" s="12" t="n">
        <x:v>1</x:v>
      </x:c>
      <x:c r="E6" s="12" t="str">
        <x:v>現金顧客サンプル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0000305175781" hidden="0" customWidth="1"/>
    <x:col min="2" max="2" width="9.199999809265137" hidden="0" customWidth="1"/>
    <x:col min="3" max="3" width="17.790000915527344" hidden="0" customWidth="1"/>
    <x:col min="4" max="4" width="9.199999809265137" hidden="0" customWidth="1"/>
    <x:col min="5" max="5" width="10.430000305175781" hidden="0" customWidth="1"/>
    <x:col min="6" max="6" width="12.270000457763672" hidden="0" customWidth="1"/>
    <x:col min="7" max="7" width="12.270000457763672" hidden="0" customWidth="1"/>
    <x:col min="8" max="8" width="21.469999313354492" hidden="0" customWidth="1"/>
  </x:cols>
  <x:sheetData>
    <x:row r="1">
      <x:c r="A1" s="4" t="str">
        <x:v>顧客別単価マスタ</x:v>
      </x:c>
      <x:c r="B1" s="4" t="str">
        <x:v>顧客別単価マスタ</x:v>
      </x:c>
      <x:c r="C1" s="4" t="str">
        <x:v>顧客別単価マスタ</x:v>
      </x:c>
      <x:c r="D1" s="4" t="str">
        <x:v>顧客別単価マスタ</x:v>
      </x:c>
      <x:c r="E1" s="4" t="str">
        <x:v>顧客別単価マスタ</x:v>
      </x:c>
      <x:c r="F1" s="4" t="str">
        <x:v>顧客別単価マスタ</x:v>
      </x:c>
      <x:c r="G1" s="4" t="str">
        <x:v>顧客別単価マスタ</x:v>
      </x:c>
      <x:c r="H1" s="4" t="str">
        <x:v>顧客別単価マスタ</x:v>
      </x:c>
    </x:row>
    <x:row r="3">
      <x:c r="A3" s="10" t="str">
        <x:v>顧客ID</x:v>
      </x:c>
      <x:c r="B3" s="10" t="str">
        <x:v>店舗ID</x:v>
      </x:c>
      <x:c r="C3" s="10" t="str">
        <x:v>商品名</x:v>
      </x:c>
      <x:c r="D3" s="10" t="str">
        <x:v>単価</x:v>
      </x:c>
      <x:c r="E3" s="10" t="str">
        <x:v>区分</x:v>
      </x:c>
      <x:c r="F3" s="10" t="str">
        <x:v>適用開始日</x:v>
      </x:c>
      <x:c r="G3" s="10" t="str">
        <x:v>適用終了日</x:v>
      </x:c>
      <x:c r="H3" s="10" t="str">
        <x:v>備考</x:v>
      </x:c>
    </x:row>
    <x:row r="4">
      <x:c r="A4" s="12" t="str">
        <x:v>CUST001</x:v>
      </x:c>
      <x:c r="B4" s="12" t="str"/>
      <x:c r="C4" s="12" t="str">
        <x:v>バスタオル</x:v>
      </x:c>
      <x:c r="D4" s="13" t="n">
        <x:v>50</x:v>
      </x:c>
      <x:c r="E4" s="12" t="str">
        <x:v>商品</x:v>
      </x:c>
      <x:c r="F4" s="12" t="str">
        <x:v>2026/4/1</x:v>
      </x:c>
      <x:c r="G4" s="12" t="str"/>
      <x:c r="H4" s="12" t="str">
        <x:v>共通単価</x:v>
      </x:c>
    </x:row>
    <x:row r="5">
      <x:c r="A5" s="12" t="str">
        <x:v>CUST001</x:v>
      </x:c>
      <x:c r="B5" s="12" t="str"/>
      <x:c r="C5" s="12" t="str">
        <x:v>フェイスタオル</x:v>
      </x:c>
      <x:c r="D5" s="13" t="n">
        <x:v>10</x:v>
      </x:c>
      <x:c r="E5" s="12" t="str">
        <x:v>商品</x:v>
      </x:c>
      <x:c r="F5" s="12" t="str">
        <x:v>2026/4/1</x:v>
      </x:c>
      <x:c r="G5" s="12" t="str"/>
      <x:c r="H5" s="12" t="str">
        <x:v>共通単価</x:v>
      </x:c>
    </x:row>
    <x:row r="6">
      <x:c r="A6" s="12" t="str">
        <x:v>CUST001</x:v>
      </x:c>
      <x:c r="B6" s="12" t="str"/>
      <x:c r="C6" s="12" t="str">
        <x:v>バスマット</x:v>
      </x:c>
      <x:c r="D6" s="13" t="n">
        <x:v>20</x:v>
      </x:c>
      <x:c r="E6" s="12" t="str">
        <x:v>商品</x:v>
      </x:c>
      <x:c r="F6" s="12" t="str">
        <x:v>2026/4/1</x:v>
      </x:c>
      <x:c r="G6" s="12" t="str"/>
      <x:c r="H6" s="12" t="str">
        <x:v>共通単価</x:v>
      </x:c>
    </x:row>
    <x:row r="7">
      <x:c r="A7" s="12" t="str">
        <x:v>CUST001</x:v>
      </x:c>
      <x:c r="B7" s="12" t="str"/>
      <x:c r="C7" s="12" t="str">
        <x:v>配達料</x:v>
      </x:c>
      <x:c r="D7" s="13" t="n">
        <x:v>150</x:v>
      </x:c>
      <x:c r="E7" s="12" t="str">
        <x:v>配達料</x:v>
      </x:c>
      <x:c r="F7" s="12" t="str">
        <x:v>2026/4/1</x:v>
      </x:c>
      <x:c r="G7" s="12" t="str"/>
      <x:c r="H7" s="12" t="str">
        <x:v>共通単価</x:v>
      </x:c>
    </x:row>
    <x:row r="8">
      <x:c r="A8" s="12" t="str">
        <x:v>CUST001</x:v>
      </x:c>
      <x:c r="B8" s="12" t="str">
        <x:v>S002</x:v>
      </x:c>
      <x:c r="C8" s="12" t="str">
        <x:v>バスタオル</x:v>
      </x:c>
      <x:c r="D8" s="13" t="n">
        <x:v>50</x:v>
      </x:c>
      <x:c r="E8" s="12" t="str">
        <x:v>商品</x:v>
      </x:c>
      <x:c r="F8" s="12" t="str">
        <x:v>2026/4/1</x:v>
      </x:c>
      <x:c r="G8" s="12" t="str"/>
      <x:c r="H8" s="12" t="str">
        <x:v>店舗別単価例</x:v>
      </x:c>
    </x:row>
    <x:row r="9">
      <x:c r="A9" s="12" t="str">
        <x:v>CUST001</x:v>
      </x:c>
      <x:c r="B9" s="12" t="str">
        <x:v>S002</x:v>
      </x:c>
      <x:c r="C9" s="12" t="str">
        <x:v>フェイスタオル</x:v>
      </x:c>
      <x:c r="D9" s="13" t="n">
        <x:v>10</x:v>
      </x:c>
      <x:c r="E9" s="12" t="str">
        <x:v>商品</x:v>
      </x:c>
      <x:c r="F9" s="12" t="str">
        <x:v>2026/4/1</x:v>
      </x:c>
      <x:c r="G9" s="12" t="str"/>
      <x:c r="H9" s="12" t="str">
        <x:v>店舗別単価例</x:v>
      </x:c>
    </x:row>
    <x:row r="10">
      <x:c r="A10" s="12" t="str">
        <x:v>CUST001</x:v>
      </x:c>
      <x:c r="B10" s="12" t="str">
        <x:v>S002</x:v>
      </x:c>
      <x:c r="C10" s="12" t="str">
        <x:v>バスマット</x:v>
      </x:c>
      <x:c r="D10" s="13" t="n">
        <x:v>20</x:v>
      </x:c>
      <x:c r="E10" s="12" t="str">
        <x:v>商品</x:v>
      </x:c>
      <x:c r="F10" s="12" t="str">
        <x:v>2026/4/1</x:v>
      </x:c>
      <x:c r="G10" s="12" t="str"/>
      <x:c r="H10" s="12" t="str">
        <x:v>店舗別単価例</x:v>
      </x:c>
    </x:row>
    <x:row r="11">
      <x:c r="A11" s="12" t="str">
        <x:v>CUST001</x:v>
      </x:c>
      <x:c r="B11" s="12" t="str">
        <x:v>S002</x:v>
      </x:c>
      <x:c r="C11" s="12" t="str">
        <x:v>配達料</x:v>
      </x:c>
      <x:c r="D11" s="13" t="n">
        <x:v>150</x:v>
      </x:c>
      <x:c r="E11" s="12" t="str">
        <x:v>配達料</x:v>
      </x:c>
      <x:c r="F11" s="12" t="str">
        <x:v>2026/4/1</x:v>
      </x:c>
      <x:c r="G11" s="12" t="str"/>
      <x:c r="H11" s="12" t="str">
        <x:v>店舗別単価例</x:v>
      </x:c>
    </x:row>
    <x:row r="12">
      <x:c r="A12" s="12" t="str">
        <x:v>CUST002</x:v>
      </x:c>
      <x:c r="B12" s="12" t="str"/>
      <x:c r="C12" s="12" t="str">
        <x:v>バスタオル</x:v>
      </x:c>
      <x:c r="D12" s="13" t="n">
        <x:v>55</x:v>
      </x:c>
      <x:c r="E12" s="12" t="str">
        <x:v>商品</x:v>
      </x:c>
      <x:c r="F12" s="12" t="str">
        <x:v>2026/4/1</x:v>
      </x:c>
      <x:c r="G12" s="12" t="str"/>
      <x:c r="H12" s="12" t="str">
        <x:v>現金顧客用</x:v>
      </x:c>
    </x:row>
    <x:row r="13">
      <x:c r="A13" s="12" t="str">
        <x:v>CUST002</x:v>
      </x:c>
      <x:c r="B13" s="12" t="str"/>
      <x:c r="C13" s="12" t="str">
        <x:v>配達料</x:v>
      </x:c>
      <x:c r="D13" s="13" t="n">
        <x:v>120</x:v>
      </x:c>
      <x:c r="E13" s="12" t="str">
        <x:v>配達料</x:v>
      </x:c>
      <x:c r="F13" s="12" t="str">
        <x:v>2026/4/1</x:v>
      </x:c>
      <x:c r="G13" s="12" t="str"/>
      <x:c r="H13" s="12" t="str">
        <x:v>現金顧客用</x:v>
      </x:c>
    </x:row>
    <x:row r="14">
      <x:c r="D14" s="14"/>
    </x:row>
    <x:row r="15">
      <x:c r="D15" s="14"/>
    </x:row>
    <x:row r="16">
      <x:c r="D16" s="14"/>
    </x:row>
    <x:row r="17">
      <x:c r="D17" s="14"/>
    </x:row>
    <x:row r="18">
      <x:c r="D18" s="14"/>
    </x:row>
    <x:row r="19">
      <x:c r="D19" s="14"/>
    </x:row>
    <x:row r="20">
      <x:c r="D20" s="14"/>
    </x:row>
    <x:row r="21">
      <x:c r="D21" s="14"/>
    </x:row>
    <x:row r="22">
      <x:c r="D22" s="14"/>
    </x:row>
    <x:row r="23">
      <x:c r="D23" s="14"/>
    </x:row>
    <x:row r="24">
      <x:c r="D24" s="14"/>
    </x:row>
    <x:row r="25">
      <x:c r="D25" s="14"/>
    </x:row>
    <x:row r="26">
      <x:c r="D26" s="14"/>
    </x:row>
    <x:row r="27">
      <x:c r="D27" s="14"/>
    </x:row>
    <x:row r="28">
      <x:c r="D28" s="14"/>
    </x:row>
    <x:row r="29">
      <x:c r="D29" s="14"/>
    </x:row>
    <x:row r="30">
      <x:c r="D30" s="14"/>
    </x:row>
    <x:row r="31">
      <x:c r="D31" s="14"/>
    </x:row>
    <x:row r="32">
      <x:c r="D32" s="14"/>
    </x:row>
    <x:row r="33">
      <x:c r="D33" s="14"/>
    </x:row>
    <x:row r="34">
      <x:c r="D34" s="14"/>
    </x:row>
    <x:row r="35">
      <x:c r="D35" s="14"/>
    </x:row>
    <x:row r="36">
      <x:c r="D36" s="14"/>
    </x:row>
    <x:row r="37">
      <x:c r="D37" s="14"/>
    </x:row>
    <x:row r="38">
      <x:c r="D38" s="14"/>
    </x:row>
    <x:row r="39">
      <x:c r="D39" s="14"/>
    </x:row>
    <x:row r="40">
      <x:c r="D40" s="14"/>
    </x:row>
    <x:row r="41">
      <x:c r="D41" s="14"/>
    </x:row>
    <x:row r="42">
      <x:c r="D42" s="14"/>
    </x:row>
    <x:row r="43">
      <x:c r="D43" s="14"/>
    </x:row>
    <x:row r="44">
      <x:c r="D44" s="14"/>
    </x:row>
    <x:row r="45">
      <x:c r="D45" s="14"/>
    </x:row>
    <x:row r="46">
      <x:c r="D46" s="14"/>
    </x:row>
    <x:row r="47">
      <x:c r="D47" s="14"/>
    </x:row>
    <x:row r="48">
      <x:c r="D48" s="14"/>
    </x:row>
    <x:row r="49">
      <x:c r="D49" s="14"/>
    </x:row>
    <x:row r="50">
      <x:c r="D50" s="14"/>
    </x:row>
    <x:row r="51">
      <x:c r="D51" s="14"/>
    </x:row>
    <x:row r="52">
      <x:c r="D52" s="14"/>
    </x:row>
    <x:row r="53">
      <x:c r="D53" s="14"/>
    </x:row>
    <x:row r="54">
      <x:c r="D54" s="14"/>
    </x:row>
    <x:row r="55">
      <x:c r="D55" s="14"/>
    </x:row>
    <x:row r="56">
      <x:c r="D56" s="14"/>
    </x:row>
    <x:row r="57">
      <x:c r="D57" s="14"/>
    </x:row>
    <x:row r="58">
      <x:c r="D58" s="14"/>
    </x:row>
    <x:row r="59">
      <x:c r="D59" s="14"/>
    </x:row>
    <x:row r="60">
      <x:c r="D60" s="14"/>
    </x:row>
    <x:row r="61">
      <x:c r="D61" s="14"/>
    </x:row>
    <x:row r="62">
      <x:c r="D62" s="14"/>
    </x:row>
    <x:row r="63">
      <x:c r="D63" s="14"/>
    </x:row>
    <x:row r="64">
      <x:c r="D64" s="14"/>
    </x:row>
    <x:row r="65">
      <x:c r="D65" s="14"/>
    </x:row>
    <x:row r="66">
      <x:c r="D66" s="14"/>
    </x:row>
    <x:row r="67">
      <x:c r="D67" s="14"/>
    </x:row>
    <x:row r="68">
      <x:c r="D68" s="14"/>
    </x:row>
    <x:row r="69">
      <x:c r="D69" s="14"/>
    </x:row>
    <x:row r="70">
      <x:c r="D70" s="14"/>
    </x:row>
    <x:row r="71">
      <x:c r="D71" s="14"/>
    </x:row>
    <x:row r="72">
      <x:c r="D72" s="14"/>
    </x:row>
    <x:row r="73">
      <x:c r="D73" s="14"/>
    </x:row>
    <x:row r="74">
      <x:c r="D74" s="14"/>
    </x:row>
    <x:row r="75">
      <x:c r="D75" s="14"/>
    </x:row>
    <x:row r="76">
      <x:c r="D76" s="14"/>
    </x:row>
    <x:row r="77">
      <x:c r="D77" s="14"/>
    </x:row>
    <x:row r="78">
      <x:c r="D78" s="14"/>
    </x:row>
    <x:row r="79">
      <x:c r="D79" s="14"/>
    </x:row>
    <x:row r="80">
      <x:c r="D80" s="14"/>
    </x:row>
    <x:row r="81">
      <x:c r="D81" s="14"/>
    </x:row>
    <x:row r="82">
      <x:c r="D82" s="14"/>
    </x:row>
    <x:row r="83">
      <x:c r="D83" s="14"/>
    </x:row>
    <x:row r="84">
      <x:c r="D84" s="14"/>
    </x:row>
    <x:row r="85">
      <x:c r="D85" s="14"/>
    </x:row>
    <x:row r="86">
      <x:c r="D86" s="14"/>
    </x:row>
    <x:row r="87">
      <x:c r="D87" s="14"/>
    </x:row>
    <x:row r="88">
      <x:c r="D88" s="14"/>
    </x:row>
    <x:row r="89">
      <x:c r="D89" s="14"/>
    </x:row>
    <x:row r="90">
      <x:c r="D90" s="14"/>
    </x:row>
    <x:row r="91">
      <x:c r="D91" s="14"/>
    </x:row>
    <x:row r="92">
      <x:c r="D92" s="14"/>
    </x:row>
    <x:row r="93">
      <x:c r="D93" s="14"/>
    </x:row>
    <x:row r="94">
      <x:c r="D94" s="14"/>
    </x:row>
    <x:row r="95">
      <x:c r="D95" s="14"/>
    </x:row>
    <x:row r="96">
      <x:c r="D96" s="14"/>
    </x:row>
    <x:row r="97">
      <x:c r="D97" s="14"/>
    </x:row>
    <x:row r="98">
      <x:c r="D98" s="14"/>
    </x:row>
    <x:row r="99">
      <x:c r="D99" s="14"/>
    </x:row>
    <x:row r="100">
      <x:c r="D100" s="14"/>
    </x:row>
  </x:sheetData>
  <x:mergeCells>
    <x:mergeCell ref="A1:H1"/>
  </x:mergeCells>
  <x:dataValidations count="1">
    <x:dataValidation type="list" allowBlank="0" showDropDown="0" sqref="E4:E100">
      <x:formula1>"商品,配達料,その他手数料"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8.220000267028809" hidden="0" customWidth="1"/>
    <x:col min="3" max="3" width="6.260000228881836" hidden="0" customWidth="1"/>
    <x:col min="4" max="4" width="6.260000228881836" hidden="0" customWidth="1"/>
    <x:col min="5" max="5" width="6.260000228881836" hidden="0" customWidth="1"/>
    <x:col min="6" max="6" width="6.260000228881836" hidden="0" customWidth="1"/>
    <x:col min="7" max="7" width="6.260000228881836" hidden="0" customWidth="1"/>
    <x:col min="8" max="8" width="6.260000228881836" hidden="0" customWidth="1"/>
    <x:col min="9" max="9" width="6.260000228881836" hidden="0" customWidth="1"/>
    <x:col min="10" max="10" width="6.260000228881836" hidden="0" customWidth="1"/>
    <x:col min="11" max="11" width="6.260000228881836" hidden="0" customWidth="1"/>
    <x:col min="12" max="12" width="6.260000228881836" hidden="0" customWidth="1"/>
    <x:col min="13" max="13" width="6.260000228881836" hidden="0" customWidth="1"/>
    <x:col min="14" max="14" width="6.260000228881836" hidden="0" customWidth="1"/>
    <x:col min="15" max="15" width="6.260000228881836" hidden="0" customWidth="1"/>
    <x:col min="16" max="16" width="6.260000228881836" hidden="0" customWidth="1"/>
    <x:col min="17" max="17" width="6.260000228881836" hidden="0" customWidth="1"/>
    <x:col min="18" max="18" width="6.260000228881836" hidden="0" customWidth="1"/>
    <x:col min="19" max="19" width="6.260000228881836" hidden="0" customWidth="1"/>
    <x:col min="20" max="20" width="6.260000228881836" hidden="0" customWidth="1"/>
    <x:col min="21" max="21" width="6.260000228881836" hidden="0" customWidth="1"/>
    <x:col min="22" max="22" width="6.260000228881836" hidden="0" customWidth="1"/>
    <x:col min="23" max="23" width="10.430000305175781" hidden="0" customWidth="1"/>
    <x:col min="24" max="24" width="12.270000457763672" hidden="0" customWidth="1"/>
  </x:cols>
  <x:sheetData>
    <x:row r="1">
      <x:c r="A1" s="4" t="str">
        <x:v>請求明細_出力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</x:row>
    <x:row r="2">
      <x:c r="A2" s="19" t="str">
        <x:f>'納品入力_横型'!$E$3&amp;" 請求明細"</x:f>
        <x:v>2026年4月 請求明細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</x:row>
    <x:row r="3">
      <x:c r="A3" t="str">
        <x:v>請求先名</x:v>
      </x:c>
      <x:c r="B3" s="17" t="str">
        <x:v>〇〇株式会社</x:v>
      </x:c>
      <x:c r="C3" t="str"/>
      <x:c r="D3" t="str">
        <x:v>店舗名</x:v>
      </x:c>
      <x:c r="E3" s="17" t="str">
        <x:v>全店舗</x:v>
      </x:c>
      <x:c r="F3" t="str"/>
      <x:c r="G3" t="str">
        <x:v>発行日</x:v>
      </x:c>
      <x:c r="H3" s="17" t="str">
        <x:v>2026/5/1</x:v>
      </x:c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</x:row>
    <x:row r="4">
      <x:c r="A4" t="str">
        <x:v>対象期間</x:v>
      </x:c>
      <x:c r="B4" s="17" t="str">
        <x:v>2026/4/1〜2026/4/30</x:v>
      </x:c>
      <x:c r="C4" t="str"/>
      <x:c r="D4" t="str">
        <x:v>締日</x:v>
      </x:c>
      <x:c r="E4" s="17" t="str">
        <x:v>月末</x:v>
      </x:c>
      <x:c r="F4" t="str"/>
      <x:c r="G4" t="str">
        <x:v>請求月</x:v>
      </x:c>
      <x:c r="H4" s="17" t="str">
        <x:v>2026年4月</x:v>
      </x:c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</x:row>
    <x:row r="8">
      <x:c r="A8" s="38" t="str">
        <x:v>本店</x:v>
      </x:c>
      <x:c r="B8" s="38" t="str"/>
      <x:c r="C8" s="38" t="str"/>
      <x:c r="D8" s="38" t="str"/>
      <x:c r="E8" s="38" t="str"/>
      <x:c r="F8" s="38" t="str"/>
      <x:c r="G8" s="38" t="str"/>
      <x:c r="H8" s="38" t="str"/>
      <x:c r="I8" s="38" t="str"/>
      <x:c r="J8" s="38" t="str"/>
      <x:c r="K8" s="38" t="str"/>
      <x:c r="L8" s="38" t="str"/>
      <x:c r="M8" s="38" t="str"/>
      <x:c r="N8" s="38" t="str"/>
      <x:c r="O8" s="38" t="str"/>
      <x:c r="P8" s="38" t="str"/>
      <x:c r="Q8" s="38" t="str"/>
      <x:c r="R8" s="38" t="str"/>
      <x:c r="S8" s="38" t="str"/>
      <x:c r="T8" s="38" t="str"/>
      <x:c r="U8" s="38" t="str"/>
      <x:c r="V8" s="38" t="str"/>
      <x:c r="W8" s="38" t="str"/>
      <x:c r="X8" s="38" t="str"/>
    </x:row>
    <x:row r="9">
      <x:c r="A9" s="10" t="str">
        <x:v>商品名</x:v>
      </x:c>
      <x:c r="B9" s="10" t="str">
        <x:v>単価</x:v>
      </x:c>
      <x:c r="C9" s="39" t="n">
        <x:f>IF('納品入力_横型'!C10=0,"",'納品入力_横型'!C10)</x:f>
        <x:v>46113</x:v>
      </x:c>
      <x:c r="D9" s="39" t="n">
        <x:f>IF('納品入力_横型'!D10=0,"",'納品入力_横型'!D10)</x:f>
        <x:v>46116</x:v>
      </x:c>
      <x:c r="E9" s="39" t="n">
        <x:f>IF('納品入力_横型'!E10=0,"",'納品入力_横型'!E10)</x:f>
        <x:v>46121</x:v>
      </x:c>
      <x:c r="F9" s="39" t="n">
        <x:f>IF('納品入力_横型'!F10=0,"",'納品入力_横型'!F10)</x:f>
        <x:v>46127</x:v>
      </x:c>
      <x:c r="G9" s="39" t="n">
        <x:f>IF('納品入力_横型'!G10=0,"",'納品入力_横型'!G10)</x:f>
        <x:v>46132</x:v>
      </x:c>
      <x:c r="H9" s="39" t="str">
        <x:f>IF('納品入力_横型'!H10=0,"",'納品入力_横型'!H10)</x:f>
      </x:c>
      <x:c r="I9" s="39" t="str">
        <x:f>IF('納品入力_横型'!I10=0,"",'納品入力_横型'!I10)</x:f>
      </x:c>
      <x:c r="J9" s="39" t="str">
        <x:f>IF('納品入力_横型'!J10=0,"",'納品入力_横型'!J10)</x:f>
      </x:c>
      <x:c r="K9" s="39" t="str">
        <x:f>IF('納品入力_横型'!K10=0,"",'納品入力_横型'!K10)</x:f>
      </x:c>
      <x:c r="L9" s="39" t="str">
        <x:f>IF('納品入力_横型'!L10=0,"",'納品入力_横型'!L10)</x:f>
      </x:c>
      <x:c r="M9" s="39" t="str">
        <x:f>IF('納品入力_横型'!M10=0,"",'納品入力_横型'!M10)</x:f>
      </x:c>
      <x:c r="N9" s="39" t="str">
        <x:f>IF('納品入力_横型'!N10=0,"",'納品入力_横型'!N10)</x:f>
      </x:c>
      <x:c r="O9" s="39" t="str">
        <x:f>IF('納品入力_横型'!O10=0,"",'納品入力_横型'!O10)</x:f>
      </x:c>
      <x:c r="P9" s="39" t="str">
        <x:f>IF('納品入力_横型'!P10=0,"",'納品入力_横型'!P10)</x:f>
      </x:c>
      <x:c r="Q9" s="39" t="str">
        <x:f>IF('納品入力_横型'!Q10=0,"",'納品入力_横型'!Q10)</x:f>
      </x:c>
      <x:c r="R9" s="39" t="str">
        <x:f>IF('納品入力_横型'!R10=0,"",'納品入力_横型'!R10)</x:f>
      </x:c>
      <x:c r="S9" s="39" t="str">
        <x:f>IF('納品入力_横型'!S10=0,"",'納品入力_横型'!S10)</x:f>
      </x:c>
      <x:c r="T9" s="39" t="str">
        <x:f>IF('納品入力_横型'!T10=0,"",'納品入力_横型'!T10)</x:f>
      </x:c>
      <x:c r="U9" s="39" t="str">
        <x:f>IF('納品入力_横型'!U10=0,"",'納品入力_横型'!U10)</x:f>
      </x:c>
      <x:c r="V9" s="39" t="str">
        <x:f>IF('納品入力_横型'!V10=0,"",'納品入力_横型'!V10)</x:f>
      </x:c>
      <x:c r="W9" s="10" t="str">
        <x:v>合計数量</x:v>
      </x:c>
      <x:c r="X9" s="10" t="str">
        <x:v>金額</x:v>
      </x:c>
    </x:row>
    <x:row r="10">
      <x:c r="A10" s="35" t="str">
        <x:f>'納品入力_横型'!A11</x:f>
        <x:v>バスタオル</x:v>
      </x:c>
      <x:c r="B10" s="40" t="n">
        <x:f>'納品入力_横型'!B11</x:f>
        <x:v>50</x:v>
      </x:c>
      <x:c r="C10" s="40" t="n">
        <x:f>IF('納品入力_横型'!C11=0,"",'納品入力_横型'!C11)</x:f>
        <x:v>100</x:v>
      </x:c>
      <x:c r="D10" s="40" t="str">
        <x:f>IF('納品入力_横型'!D11=0,"",'納品入力_横型'!D11)</x:f>
      </x:c>
      <x:c r="E10" s="40" t="n">
        <x:f>IF('納品入力_横型'!E11=0,"",'納品入力_横型'!E11)</x:f>
        <x:v>50</x:v>
      </x:c>
      <x:c r="F10" s="40" t="n">
        <x:f>IF('納品入力_横型'!F11=0,"",'納品入力_横型'!F11)</x:f>
        <x:v>50</x:v>
      </x:c>
      <x:c r="G10" s="40" t="str">
        <x:f>IF('納品入力_横型'!G11=0,"",'納品入力_横型'!G11)</x:f>
      </x:c>
      <x:c r="H10" s="40" t="str">
        <x:f>IF('納品入力_横型'!H11=0,"",'納品入力_横型'!H11)</x:f>
      </x:c>
      <x:c r="I10" s="40" t="str">
        <x:f>IF('納品入力_横型'!I11=0,"",'納品入力_横型'!I11)</x:f>
      </x:c>
      <x:c r="J10" s="40" t="str">
        <x:f>IF('納品入力_横型'!J11=0,"",'納品入力_横型'!J11)</x:f>
      </x:c>
      <x:c r="K10" s="40" t="str">
        <x:f>IF('納品入力_横型'!K11=0,"",'納品入力_横型'!K11)</x:f>
      </x:c>
      <x:c r="L10" s="40" t="str">
        <x:f>IF('納品入力_横型'!L11=0,"",'納品入力_横型'!L11)</x:f>
      </x:c>
      <x:c r="M10" s="40" t="str">
        <x:f>IF('納品入力_横型'!M11=0,"",'納品入力_横型'!M11)</x:f>
      </x:c>
      <x:c r="N10" s="40" t="str">
        <x:f>IF('納品入力_横型'!N11=0,"",'納品入力_横型'!N11)</x:f>
      </x:c>
      <x:c r="O10" s="40" t="str">
        <x:f>IF('納品入力_横型'!O11=0,"",'納品入力_横型'!O11)</x:f>
      </x:c>
      <x:c r="P10" s="40" t="str">
        <x:f>IF('納品入力_横型'!P11=0,"",'納品入力_横型'!P11)</x:f>
      </x:c>
      <x:c r="Q10" s="40" t="str">
        <x:f>IF('納品入力_横型'!Q11=0,"",'納品入力_横型'!Q11)</x:f>
      </x:c>
      <x:c r="R10" s="40" t="str">
        <x:f>IF('納品入力_横型'!R11=0,"",'納品入力_横型'!R11)</x:f>
      </x:c>
      <x:c r="S10" s="40" t="str">
        <x:f>IF('納品入力_横型'!S11=0,"",'納品入力_横型'!S11)</x:f>
      </x:c>
      <x:c r="T10" s="40" t="str">
        <x:f>IF('納品入力_横型'!T11=0,"",'納品入力_横型'!T11)</x:f>
      </x:c>
      <x:c r="U10" s="40" t="str">
        <x:f>IF('納品入力_横型'!U11=0,"",'納品入力_横型'!U11)</x:f>
      </x:c>
      <x:c r="V10" s="40" t="str">
        <x:f>IF('納品入力_横型'!V11=0,"",'納品入力_横型'!V11)</x:f>
      </x:c>
      <x:c r="W10" s="40" t="n">
        <x:f>'納品入力_横型'!W11</x:f>
        <x:v>200</x:v>
      </x:c>
      <x:c r="X10" s="40" t="n">
        <x:f>'納品入力_横型'!X11</x:f>
        <x:v>10000</x:v>
      </x:c>
    </x:row>
    <x:row r="11">
      <x:c r="A11" s="35" t="str">
        <x:f>'納品入力_横型'!A12</x:f>
        <x:v>フェイスタオル</x:v>
      </x:c>
      <x:c r="B11" s="40" t="n">
        <x:f>'納品入力_横型'!B12</x:f>
        <x:v>10</x:v>
      </x:c>
      <x:c r="C11" s="40" t="n">
        <x:f>IF('納品入力_横型'!C12=0,"",'納品入力_横型'!C12)</x:f>
        <x:v>150</x:v>
      </x:c>
      <x:c r="D11" s="40" t="n">
        <x:f>IF('納品入力_横型'!D12=0,"",'納品入力_横型'!D12)</x:f>
        <x:v>200</x:v>
      </x:c>
      <x:c r="E11" s="40" t="n">
        <x:f>IF('納品入力_横型'!E12=0,"",'納品入力_横型'!E12)</x:f>
        <x:v>100</x:v>
      </x:c>
      <x:c r="F11" s="40" t="str">
        <x:f>IF('納品入力_横型'!F12=0,"",'納品入力_横型'!F12)</x:f>
      </x:c>
      <x:c r="G11" s="40" t="n">
        <x:f>IF('納品入力_横型'!G12=0,"",'納品入力_横型'!G12)</x:f>
        <x:v>100</x:v>
      </x:c>
      <x:c r="H11" s="40" t="str">
        <x:f>IF('納品入力_横型'!H12=0,"",'納品入力_横型'!H12)</x:f>
      </x:c>
      <x:c r="I11" s="40" t="str">
        <x:f>IF('納品入力_横型'!I12=0,"",'納品入力_横型'!I12)</x:f>
      </x:c>
      <x:c r="J11" s="40" t="str">
        <x:f>IF('納品入力_横型'!J12=0,"",'納品入力_横型'!J12)</x:f>
      </x:c>
      <x:c r="K11" s="40" t="str">
        <x:f>IF('納品入力_横型'!K12=0,"",'納品入力_横型'!K12)</x:f>
      </x:c>
      <x:c r="L11" s="40" t="str">
        <x:f>IF('納品入力_横型'!L12=0,"",'納品入力_横型'!L12)</x:f>
      </x:c>
      <x:c r="M11" s="40" t="str">
        <x:f>IF('納品入力_横型'!M12=0,"",'納品入力_横型'!M12)</x:f>
      </x:c>
      <x:c r="N11" s="40" t="str">
        <x:f>IF('納品入力_横型'!N12=0,"",'納品入力_横型'!N12)</x:f>
      </x:c>
      <x:c r="O11" s="40" t="str">
        <x:f>IF('納品入力_横型'!O12=0,"",'納品入力_横型'!O12)</x:f>
      </x:c>
      <x:c r="P11" s="40" t="str">
        <x:f>IF('納品入力_横型'!P12=0,"",'納品入力_横型'!P12)</x:f>
      </x:c>
      <x:c r="Q11" s="40" t="str">
        <x:f>IF('納品入力_横型'!Q12=0,"",'納品入力_横型'!Q12)</x:f>
      </x:c>
      <x:c r="R11" s="40" t="str">
        <x:f>IF('納品入力_横型'!R12=0,"",'納品入力_横型'!R12)</x:f>
      </x:c>
      <x:c r="S11" s="40" t="str">
        <x:f>IF('納品入力_横型'!S12=0,"",'納品入力_横型'!S12)</x:f>
      </x:c>
      <x:c r="T11" s="40" t="str">
        <x:f>IF('納品入力_横型'!T12=0,"",'納品入力_横型'!T12)</x:f>
      </x:c>
      <x:c r="U11" s="40" t="str">
        <x:f>IF('納品入力_横型'!U12=0,"",'納品入力_横型'!U12)</x:f>
      </x:c>
      <x:c r="V11" s="40" t="str">
        <x:f>IF('納品入力_横型'!V12=0,"",'納品入力_横型'!V12)</x:f>
      </x:c>
      <x:c r="W11" s="40" t="n">
        <x:f>'納品入力_横型'!W12</x:f>
        <x:v>550</x:v>
      </x:c>
      <x:c r="X11" s="40" t="n">
        <x:f>'納品入力_横型'!X12</x:f>
        <x:v>5500</x:v>
      </x:c>
    </x:row>
    <x:row r="12">
      <x:c r="A12" s="35" t="str">
        <x:f>'納品入力_横型'!A13</x:f>
        <x:v>バスマット</x:v>
      </x:c>
      <x:c r="B12" s="40" t="n">
        <x:f>'納品入力_横型'!B13</x:f>
        <x:v>20</x:v>
      </x:c>
      <x:c r="C12" s="40" t="n">
        <x:f>IF('納品入力_横型'!C13=0,"",'納品入力_横型'!C13)</x:f>
        <x:v>10</x:v>
      </x:c>
      <x:c r="D12" s="40" t="str">
        <x:f>IF('納品入力_横型'!D13=0,"",'納品入力_横型'!D13)</x:f>
      </x:c>
      <x:c r="E12" s="40" t="n">
        <x:f>IF('納品入力_横型'!E13=0,"",'納品入力_横型'!E13)</x:f>
        <x:v>10</x:v>
      </x:c>
      <x:c r="F12" s="40" t="str">
        <x:f>IF('納品入力_横型'!F13=0,"",'納品入力_横型'!F13)</x:f>
      </x:c>
      <x:c r="G12" s="40" t="n">
        <x:f>IF('納品入力_横型'!G13=0,"",'納品入力_横型'!G13)</x:f>
        <x:v>10</x:v>
      </x:c>
      <x:c r="H12" s="40" t="str">
        <x:f>IF('納品入力_横型'!H13=0,"",'納品入力_横型'!H13)</x:f>
      </x:c>
      <x:c r="I12" s="40" t="str">
        <x:f>IF('納品入力_横型'!I13=0,"",'納品入力_横型'!I13)</x:f>
      </x:c>
      <x:c r="J12" s="40" t="str">
        <x:f>IF('納品入力_横型'!J13=0,"",'納品入力_横型'!J13)</x:f>
      </x:c>
      <x:c r="K12" s="40" t="str">
        <x:f>IF('納品入力_横型'!K13=0,"",'納品入力_横型'!K13)</x:f>
      </x:c>
      <x:c r="L12" s="40" t="str">
        <x:f>IF('納品入力_横型'!L13=0,"",'納品入力_横型'!L13)</x:f>
      </x:c>
      <x:c r="M12" s="40" t="str">
        <x:f>IF('納品入力_横型'!M13=0,"",'納品入力_横型'!M13)</x:f>
      </x:c>
      <x:c r="N12" s="40" t="str">
        <x:f>IF('納品入力_横型'!N13=0,"",'納品入力_横型'!N13)</x:f>
      </x:c>
      <x:c r="O12" s="40" t="str">
        <x:f>IF('納品入力_横型'!O13=0,"",'納品入力_横型'!O13)</x:f>
      </x:c>
      <x:c r="P12" s="40" t="str">
        <x:f>IF('納品入力_横型'!P13=0,"",'納品入力_横型'!P13)</x:f>
      </x:c>
      <x:c r="Q12" s="40" t="str">
        <x:f>IF('納品入力_横型'!Q13=0,"",'納品入力_横型'!Q13)</x:f>
      </x:c>
      <x:c r="R12" s="40" t="str">
        <x:f>IF('納品入力_横型'!R13=0,"",'納品入力_横型'!R13)</x:f>
      </x:c>
      <x:c r="S12" s="40" t="str">
        <x:f>IF('納品入力_横型'!S13=0,"",'納品入力_横型'!S13)</x:f>
      </x:c>
      <x:c r="T12" s="40" t="str">
        <x:f>IF('納品入力_横型'!T13=0,"",'納品入力_横型'!T13)</x:f>
      </x:c>
      <x:c r="U12" s="40" t="str">
        <x:f>IF('納品入力_横型'!U13=0,"",'納品入力_横型'!U13)</x:f>
      </x:c>
      <x:c r="V12" s="40" t="str">
        <x:f>IF('納品入力_横型'!V13=0,"",'納品入力_横型'!V13)</x:f>
      </x:c>
      <x:c r="W12" s="40" t="n">
        <x:f>'納品入力_横型'!W13</x:f>
        <x:v>30</x:v>
      </x:c>
      <x:c r="X12" s="40" t="n">
        <x:f>'納品入力_横型'!X13</x:f>
        <x:v>600</x:v>
      </x:c>
    </x:row>
    <x:row r="13">
      <x:c r="A13" s="35" t="str">
        <x:f>'納品入力_横型'!A14</x:f>
        <x:v>配達料</x:v>
      </x:c>
      <x:c r="B13" s="40" t="n">
        <x:f>'納品入力_横型'!B14</x:f>
        <x:v>150</x:v>
      </x:c>
      <x:c r="C13" s="40" t="n">
        <x:f>IF('納品入力_横型'!C14=0,"",'納品入力_横型'!C14)</x:f>
        <x:v>1</x:v>
      </x:c>
      <x:c r="D13" s="40" t="n">
        <x:f>IF('納品入力_横型'!D14=0,"",'納品入力_横型'!D14)</x:f>
        <x:v>1</x:v>
      </x:c>
      <x:c r="E13" s="40" t="n">
        <x:f>IF('納品入力_横型'!E14=0,"",'納品入力_横型'!E14)</x:f>
        <x:v>1</x:v>
      </x:c>
      <x:c r="F13" s="40" t="n">
        <x:f>IF('納品入力_横型'!F14=0,"",'納品入力_横型'!F14)</x:f>
        <x:v>1</x:v>
      </x:c>
      <x:c r="G13" s="40" t="n">
        <x:f>IF('納品入力_横型'!G14=0,"",'納品入力_横型'!G14)</x:f>
        <x:v>1</x:v>
      </x:c>
      <x:c r="H13" s="40" t="str">
        <x:f>IF('納品入力_横型'!H14=0,"",'納品入力_横型'!H14)</x:f>
      </x:c>
      <x:c r="I13" s="40" t="str">
        <x:f>IF('納品入力_横型'!I14=0,"",'納品入力_横型'!I14)</x:f>
      </x:c>
      <x:c r="J13" s="40" t="str">
        <x:f>IF('納品入力_横型'!J14=0,"",'納品入力_横型'!J14)</x:f>
      </x:c>
      <x:c r="K13" s="40" t="str">
        <x:f>IF('納品入力_横型'!K14=0,"",'納品入力_横型'!K14)</x:f>
      </x:c>
      <x:c r="L13" s="40" t="str">
        <x:f>IF('納品入力_横型'!L14=0,"",'納品入力_横型'!L14)</x:f>
      </x:c>
      <x:c r="M13" s="40" t="str">
        <x:f>IF('納品入力_横型'!M14=0,"",'納品入力_横型'!M14)</x:f>
      </x:c>
      <x:c r="N13" s="40" t="str">
        <x:f>IF('納品入力_横型'!N14=0,"",'納品入力_横型'!N14)</x:f>
      </x:c>
      <x:c r="O13" s="40" t="str">
        <x:f>IF('納品入力_横型'!O14=0,"",'納品入力_横型'!O14)</x:f>
      </x:c>
      <x:c r="P13" s="40" t="str">
        <x:f>IF('納品入力_横型'!P14=0,"",'納品入力_横型'!P14)</x:f>
      </x:c>
      <x:c r="Q13" s="40" t="str">
        <x:f>IF('納品入力_横型'!Q14=0,"",'納品入力_横型'!Q14)</x:f>
      </x:c>
      <x:c r="R13" s="40" t="str">
        <x:f>IF('納品入力_横型'!R14=0,"",'納品入力_横型'!R14)</x:f>
      </x:c>
      <x:c r="S13" s="40" t="str">
        <x:f>IF('納品入力_横型'!S14=0,"",'納品入力_横型'!S14)</x:f>
      </x:c>
      <x:c r="T13" s="40" t="str">
        <x:f>IF('納品入力_横型'!T14=0,"",'納品入力_横型'!T14)</x:f>
      </x:c>
      <x:c r="U13" s="40" t="str">
        <x:f>IF('納品入力_横型'!U14=0,"",'納品入力_横型'!U14)</x:f>
      </x:c>
      <x:c r="V13" s="40" t="str">
        <x:f>IF('納品入力_横型'!V14=0,"",'納品入力_横型'!V14)</x:f>
      </x:c>
      <x:c r="W13" s="40" t="n">
        <x:f>'納品入力_横型'!W14</x:f>
        <x:v>5</x:v>
      </x:c>
      <x:c r="X13" s="40" t="n">
        <x:f>'納品入力_横型'!X14</x:f>
        <x:v>750</x:v>
      </x:c>
    </x:row>
    <x:row r="14">
      <x:c r="A14" s="44" t="str">
        <x:f>"店舗計"</x:f>
        <x:v>店舗計</x:v>
      </x:c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 t="n">
        <x:f>SUM(W10:W13)</x:f>
        <x:v>785</x:v>
      </x:c>
      <x:c r="X14" s="44" t="n">
        <x:f>SUM(X10:X13)</x:f>
        <x:v>16850</x:v>
      </x:c>
    </x:row>
    <x:row r="18">
      <x:c r="A18" s="38" t="str">
        <x:v>駅前店</x:v>
      </x:c>
      <x:c r="B18" s="38" t="str"/>
      <x:c r="C18" s="38" t="str"/>
      <x:c r="D18" s="38" t="str"/>
      <x:c r="E18" s="38" t="str"/>
      <x:c r="F18" s="38" t="str"/>
      <x:c r="G18" s="38" t="str"/>
      <x:c r="H18" s="38" t="str"/>
      <x:c r="I18" s="38" t="str"/>
      <x:c r="J18" s="38" t="str"/>
      <x:c r="K18" s="38" t="str"/>
      <x:c r="L18" s="38" t="str"/>
      <x:c r="M18" s="38" t="str"/>
      <x:c r="N18" s="38" t="str"/>
      <x:c r="O18" s="38" t="str"/>
      <x:c r="P18" s="38" t="str"/>
      <x:c r="Q18" s="38" t="str"/>
      <x:c r="R18" s="38" t="str"/>
      <x:c r="S18" s="38" t="str"/>
      <x:c r="T18" s="38" t="str"/>
      <x:c r="U18" s="38" t="str"/>
      <x:c r="V18" s="38" t="str"/>
      <x:c r="W18" s="38" t="str"/>
      <x:c r="X18" s="38" t="str"/>
    </x:row>
    <x:row r="19">
      <x:c r="A19" s="10" t="str">
        <x:v>商品名</x:v>
      </x:c>
      <x:c r="B19" s="10" t="str">
        <x:v>単価</x:v>
      </x:c>
      <x:c r="C19" s="39" t="n">
        <x:f>IF('納品入力_横型'!C20=0,"",'納品入力_横型'!C20)</x:f>
        <x:v>46114</x:v>
      </x:c>
      <x:c r="D19" s="39" t="n">
        <x:f>IF('納品入力_横型'!D20=0,"",'納品入力_横型'!D20)</x:f>
        <x:v>46120</x:v>
      </x:c>
      <x:c r="E19" s="39" t="n">
        <x:f>IF('納品入力_横型'!E20=0,"",'納品入力_横型'!E20)</x:f>
        <x:v>46128</x:v>
      </x:c>
      <x:c r="F19" s="39" t="str">
        <x:f>IF('納品入力_横型'!F20=0,"",'納品入力_横型'!F20)</x:f>
      </x:c>
      <x:c r="G19" s="39" t="str">
        <x:f>IF('納品入力_横型'!G20=0,"",'納品入力_横型'!G20)</x:f>
      </x:c>
      <x:c r="H19" s="39" t="str">
        <x:f>IF('納品入力_横型'!H20=0,"",'納品入力_横型'!H20)</x:f>
      </x:c>
      <x:c r="I19" s="39" t="str">
        <x:f>IF('納品入力_横型'!I20=0,"",'納品入力_横型'!I20)</x:f>
      </x:c>
      <x:c r="J19" s="39" t="str">
        <x:f>IF('納品入力_横型'!J20=0,"",'納品入力_横型'!J20)</x:f>
      </x:c>
      <x:c r="K19" s="39" t="str">
        <x:f>IF('納品入力_横型'!K20=0,"",'納品入力_横型'!K20)</x:f>
      </x:c>
      <x:c r="L19" s="39" t="str">
        <x:f>IF('納品入力_横型'!L20=0,"",'納品入力_横型'!L20)</x:f>
      </x:c>
      <x:c r="M19" s="39" t="str">
        <x:f>IF('納品入力_横型'!M20=0,"",'納品入力_横型'!M20)</x:f>
      </x:c>
      <x:c r="N19" s="39" t="str">
        <x:f>IF('納品入力_横型'!N20=0,"",'納品入力_横型'!N20)</x:f>
      </x:c>
      <x:c r="O19" s="39" t="str">
        <x:f>IF('納品入力_横型'!O20=0,"",'納品入力_横型'!O20)</x:f>
      </x:c>
      <x:c r="P19" s="39" t="str">
        <x:f>IF('納品入力_横型'!P20=0,"",'納品入力_横型'!P20)</x:f>
      </x:c>
      <x:c r="Q19" s="39" t="str">
        <x:f>IF('納品入力_横型'!Q20=0,"",'納品入力_横型'!Q20)</x:f>
      </x:c>
      <x:c r="R19" s="39" t="str">
        <x:f>IF('納品入力_横型'!R20=0,"",'納品入力_横型'!R20)</x:f>
      </x:c>
      <x:c r="S19" s="39" t="str">
        <x:f>IF('納品入力_横型'!S20=0,"",'納品入力_横型'!S20)</x:f>
      </x:c>
      <x:c r="T19" s="39" t="str">
        <x:f>IF('納品入力_横型'!T20=0,"",'納品入力_横型'!T20)</x:f>
      </x:c>
      <x:c r="U19" s="39" t="str">
        <x:f>IF('納品入力_横型'!U20=0,"",'納品入力_横型'!U20)</x:f>
      </x:c>
      <x:c r="V19" s="39" t="str">
        <x:f>IF('納品入力_横型'!V20=0,"",'納品入力_横型'!V20)</x:f>
      </x:c>
      <x:c r="W19" s="10" t="str">
        <x:v>合計数量</x:v>
      </x:c>
      <x:c r="X19" s="10" t="str">
        <x:v>金額</x:v>
      </x:c>
    </x:row>
    <x:row r="20">
      <x:c r="A20" s="35" t="str">
        <x:f>'納品入力_横型'!A21</x:f>
        <x:v>バスタオル</x:v>
      </x:c>
      <x:c r="B20" s="40" t="n">
        <x:f>'納品入力_横型'!B21</x:f>
        <x:v>50</x:v>
      </x:c>
      <x:c r="C20" s="40" t="n">
        <x:f>IF('納品入力_横型'!C21=0,"",'納品入力_横型'!C21)</x:f>
        <x:v>80</x:v>
      </x:c>
      <x:c r="D20" s="40" t="n">
        <x:f>IF('納品入力_横型'!D21=0,"",'納品入力_横型'!D21)</x:f>
        <x:v>100</x:v>
      </x:c>
      <x:c r="E20" s="40" t="str">
        <x:f>IF('納品入力_横型'!E21=0,"",'納品入力_横型'!E21)</x:f>
      </x:c>
      <x:c r="F20" s="40" t="str">
        <x:f>IF('納品入力_横型'!F21=0,"",'納品入力_横型'!F21)</x:f>
      </x:c>
      <x:c r="G20" s="40" t="str">
        <x:f>IF('納品入力_横型'!G21=0,"",'納品入力_横型'!G21)</x:f>
      </x:c>
      <x:c r="H20" s="40" t="str">
        <x:f>IF('納品入力_横型'!H21=0,"",'納品入力_横型'!H21)</x:f>
      </x:c>
      <x:c r="I20" s="40" t="str">
        <x:f>IF('納品入力_横型'!I21=0,"",'納品入力_横型'!I21)</x:f>
      </x:c>
      <x:c r="J20" s="40" t="str">
        <x:f>IF('納品入力_横型'!J21=0,"",'納品入力_横型'!J21)</x:f>
      </x:c>
      <x:c r="K20" s="40" t="str">
        <x:f>IF('納品入力_横型'!K21=0,"",'納品入力_横型'!K21)</x:f>
      </x:c>
      <x:c r="L20" s="40" t="str">
        <x:f>IF('納品入力_横型'!L21=0,"",'納品入力_横型'!L21)</x:f>
      </x:c>
      <x:c r="M20" s="40" t="str">
        <x:f>IF('納品入力_横型'!M21=0,"",'納品入力_横型'!M21)</x:f>
      </x:c>
      <x:c r="N20" s="40" t="str">
        <x:f>IF('納品入力_横型'!N21=0,"",'納品入力_横型'!N21)</x:f>
      </x:c>
      <x:c r="O20" s="40" t="str">
        <x:f>IF('納品入力_横型'!O21=0,"",'納品入力_横型'!O21)</x:f>
      </x:c>
      <x:c r="P20" s="40" t="str">
        <x:f>IF('納品入力_横型'!P21=0,"",'納品入力_横型'!P21)</x:f>
      </x:c>
      <x:c r="Q20" s="40" t="str">
        <x:f>IF('納品入力_横型'!Q21=0,"",'納品入力_横型'!Q21)</x:f>
      </x:c>
      <x:c r="R20" s="40" t="str">
        <x:f>IF('納品入力_横型'!R21=0,"",'納品入力_横型'!R21)</x:f>
      </x:c>
      <x:c r="S20" s="40" t="str">
        <x:f>IF('納品入力_横型'!S21=0,"",'納品入力_横型'!S21)</x:f>
      </x:c>
      <x:c r="T20" s="40" t="str">
        <x:f>IF('納品入力_横型'!T21=0,"",'納品入力_横型'!T21)</x:f>
      </x:c>
      <x:c r="U20" s="40" t="str">
        <x:f>IF('納品入力_横型'!U21=0,"",'納品入力_横型'!U21)</x:f>
      </x:c>
      <x:c r="V20" s="40" t="str">
        <x:f>IF('納品入力_横型'!V21=0,"",'納品入力_横型'!V21)</x:f>
      </x:c>
      <x:c r="W20" s="40" t="n">
        <x:f>'納品入力_横型'!W21</x:f>
        <x:v>180</x:v>
      </x:c>
      <x:c r="X20" s="40" t="n">
        <x:f>'納品入力_横型'!X21</x:f>
        <x:v>9000</x:v>
      </x:c>
    </x:row>
    <x:row r="21">
      <x:c r="A21" s="35" t="str">
        <x:f>'納品入力_横型'!A22</x:f>
        <x:v>フェイスタオル</x:v>
      </x:c>
      <x:c r="B21" s="40" t="n">
        <x:f>'納品入力_横型'!B22</x:f>
        <x:v>10</x:v>
      </x:c>
      <x:c r="C21" s="40" t="n">
        <x:f>IF('納品入力_横型'!C22=0,"",'納品入力_横型'!C22)</x:f>
        <x:v>100</x:v>
      </x:c>
      <x:c r="D21" s="40" t="n">
        <x:f>IF('納品入力_横型'!D22=0,"",'納品入力_横型'!D22)</x:f>
        <x:v>100</x:v>
      </x:c>
      <x:c r="E21" s="40" t="n">
        <x:f>IF('納品入力_横型'!E22=0,"",'納品入力_横型'!E22)</x:f>
        <x:v>100</x:v>
      </x:c>
      <x:c r="F21" s="40" t="str">
        <x:f>IF('納品入力_横型'!F22=0,"",'納品入力_横型'!F22)</x:f>
      </x:c>
      <x:c r="G21" s="40" t="str">
        <x:f>IF('納品入力_横型'!G22=0,"",'納品入力_横型'!G22)</x:f>
      </x:c>
      <x:c r="H21" s="40" t="str">
        <x:f>IF('納品入力_横型'!H22=0,"",'納品入力_横型'!H22)</x:f>
      </x:c>
      <x:c r="I21" s="40" t="str">
        <x:f>IF('納品入力_横型'!I22=0,"",'納品入力_横型'!I22)</x:f>
      </x:c>
      <x:c r="J21" s="40" t="str">
        <x:f>IF('納品入力_横型'!J22=0,"",'納品入力_横型'!J22)</x:f>
      </x:c>
      <x:c r="K21" s="40" t="str">
        <x:f>IF('納品入力_横型'!K22=0,"",'納品入力_横型'!K22)</x:f>
      </x:c>
      <x:c r="L21" s="40" t="str">
        <x:f>IF('納品入力_横型'!L22=0,"",'納品入力_横型'!L22)</x:f>
      </x:c>
      <x:c r="M21" s="40" t="str">
        <x:f>IF('納品入力_横型'!M22=0,"",'納品入力_横型'!M22)</x:f>
      </x:c>
      <x:c r="N21" s="40" t="str">
        <x:f>IF('納品入力_横型'!N22=0,"",'納品入力_横型'!N22)</x:f>
      </x:c>
      <x:c r="O21" s="40" t="str">
        <x:f>IF('納品入力_横型'!O22=0,"",'納品入力_横型'!O22)</x:f>
      </x:c>
      <x:c r="P21" s="40" t="str">
        <x:f>IF('納品入力_横型'!P22=0,"",'納品入力_横型'!P22)</x:f>
      </x:c>
      <x:c r="Q21" s="40" t="str">
        <x:f>IF('納品入力_横型'!Q22=0,"",'納品入力_横型'!Q22)</x:f>
      </x:c>
      <x:c r="R21" s="40" t="str">
        <x:f>IF('納品入力_横型'!R22=0,"",'納品入力_横型'!R22)</x:f>
      </x:c>
      <x:c r="S21" s="40" t="str">
        <x:f>IF('納品入力_横型'!S22=0,"",'納品入力_横型'!S22)</x:f>
      </x:c>
      <x:c r="T21" s="40" t="str">
        <x:f>IF('納品入力_横型'!T22=0,"",'納品入力_横型'!T22)</x:f>
      </x:c>
      <x:c r="U21" s="40" t="str">
        <x:f>IF('納品入力_横型'!U22=0,"",'納品入力_横型'!U22)</x:f>
      </x:c>
      <x:c r="V21" s="40" t="str">
        <x:f>IF('納品入力_横型'!V22=0,"",'納品入力_横型'!V22)</x:f>
      </x:c>
      <x:c r="W21" s="40" t="n">
        <x:f>'納品入力_横型'!W22</x:f>
        <x:v>300</x:v>
      </x:c>
      <x:c r="X21" s="40" t="n">
        <x:f>'納品入力_横型'!X22</x:f>
        <x:v>3000</x:v>
      </x:c>
    </x:row>
    <x:row r="22">
      <x:c r="A22" s="35" t="str">
        <x:f>'納品入力_横型'!A23</x:f>
        <x:v>バスマット</x:v>
      </x:c>
      <x:c r="B22" s="40" t="n">
        <x:f>'納品入力_横型'!B23</x:f>
        <x:v>20</x:v>
      </x:c>
      <x:c r="C22" s="40" t="str">
        <x:f>IF('納品入力_横型'!C23=0,"",'納品入力_横型'!C23)</x:f>
      </x:c>
      <x:c r="D22" s="40" t="n">
        <x:f>IF('納品入力_横型'!D23=0,"",'納品入力_横型'!D23)</x:f>
        <x:v>10</x:v>
      </x:c>
      <x:c r="E22" s="40" t="n">
        <x:f>IF('納品入力_横型'!E23=0,"",'納品入力_横型'!E23)</x:f>
        <x:v>10</x:v>
      </x:c>
      <x:c r="F22" s="40" t="str">
        <x:f>IF('納品入力_横型'!F23=0,"",'納品入力_横型'!F23)</x:f>
      </x:c>
      <x:c r="G22" s="40" t="str">
        <x:f>IF('納品入力_横型'!G23=0,"",'納品入力_横型'!G23)</x:f>
      </x:c>
      <x:c r="H22" s="40" t="str">
        <x:f>IF('納品入力_横型'!H23=0,"",'納品入力_横型'!H23)</x:f>
      </x:c>
      <x:c r="I22" s="40" t="str">
        <x:f>IF('納品入力_横型'!I23=0,"",'納品入力_横型'!I23)</x:f>
      </x:c>
      <x:c r="J22" s="40" t="str">
        <x:f>IF('納品入力_横型'!J23=0,"",'納品入力_横型'!J23)</x:f>
      </x:c>
      <x:c r="K22" s="40" t="str">
        <x:f>IF('納品入力_横型'!K23=0,"",'納品入力_横型'!K23)</x:f>
      </x:c>
      <x:c r="L22" s="40" t="str">
        <x:f>IF('納品入力_横型'!L23=0,"",'納品入力_横型'!L23)</x:f>
      </x:c>
      <x:c r="M22" s="40" t="str">
        <x:f>IF('納品入力_横型'!M23=0,"",'納品入力_横型'!M23)</x:f>
      </x:c>
      <x:c r="N22" s="40" t="str">
        <x:f>IF('納品入力_横型'!N23=0,"",'納品入力_横型'!N23)</x:f>
      </x:c>
      <x:c r="O22" s="40" t="str">
        <x:f>IF('納品入力_横型'!O23=0,"",'納品入力_横型'!O23)</x:f>
      </x:c>
      <x:c r="P22" s="40" t="str">
        <x:f>IF('納品入力_横型'!P23=0,"",'納品入力_横型'!P23)</x:f>
      </x:c>
      <x:c r="Q22" s="40" t="str">
        <x:f>IF('納品入力_横型'!Q23=0,"",'納品入力_横型'!Q23)</x:f>
      </x:c>
      <x:c r="R22" s="40" t="str">
        <x:f>IF('納品入力_横型'!R23=0,"",'納品入力_横型'!R23)</x:f>
      </x:c>
      <x:c r="S22" s="40" t="str">
        <x:f>IF('納品入力_横型'!S23=0,"",'納品入力_横型'!S23)</x:f>
      </x:c>
      <x:c r="T22" s="40" t="str">
        <x:f>IF('納品入力_横型'!T23=0,"",'納品入力_横型'!T23)</x:f>
      </x:c>
      <x:c r="U22" s="40" t="str">
        <x:f>IF('納品入力_横型'!U23=0,"",'納品入力_横型'!U23)</x:f>
      </x:c>
      <x:c r="V22" s="40" t="str">
        <x:f>IF('納品入力_横型'!V23=0,"",'納品入力_横型'!V23)</x:f>
      </x:c>
      <x:c r="W22" s="40" t="n">
        <x:f>'納品入力_横型'!W23</x:f>
        <x:v>20</x:v>
      </x:c>
      <x:c r="X22" s="40" t="n">
        <x:f>'納品入力_横型'!X23</x:f>
        <x:v>400</x:v>
      </x:c>
    </x:row>
    <x:row r="23">
      <x:c r="A23" s="35" t="str">
        <x:f>'納品入力_横型'!A24</x:f>
        <x:v>配達料</x:v>
      </x:c>
      <x:c r="B23" s="40" t="n">
        <x:f>'納品入力_横型'!B24</x:f>
        <x:v>150</x:v>
      </x:c>
      <x:c r="C23" s="40" t="n">
        <x:f>IF('納品入力_横型'!C24=0,"",'納品入力_横型'!C24)</x:f>
        <x:v>1</x:v>
      </x:c>
      <x:c r="D23" s="40" t="n">
        <x:f>IF('納品入力_横型'!D24=0,"",'納品入力_横型'!D24)</x:f>
        <x:v>1</x:v>
      </x:c>
      <x:c r="E23" s="40" t="n">
        <x:f>IF('納品入力_横型'!E24=0,"",'納品入力_横型'!E24)</x:f>
        <x:v>1</x:v>
      </x:c>
      <x:c r="F23" s="40" t="str">
        <x:f>IF('納品入力_横型'!F24=0,"",'納品入力_横型'!F24)</x:f>
      </x:c>
      <x:c r="G23" s="40" t="str">
        <x:f>IF('納品入力_横型'!G24=0,"",'納品入力_横型'!G24)</x:f>
      </x:c>
      <x:c r="H23" s="40" t="str">
        <x:f>IF('納品入力_横型'!H24=0,"",'納品入力_横型'!H24)</x:f>
      </x:c>
      <x:c r="I23" s="40" t="str">
        <x:f>IF('納品入力_横型'!I24=0,"",'納品入力_横型'!I24)</x:f>
      </x:c>
      <x:c r="J23" s="40" t="str">
        <x:f>IF('納品入力_横型'!J24=0,"",'納品入力_横型'!J24)</x:f>
      </x:c>
      <x:c r="K23" s="40" t="str">
        <x:f>IF('納品入力_横型'!K24=0,"",'納品入力_横型'!K24)</x:f>
      </x:c>
      <x:c r="L23" s="40" t="str">
        <x:f>IF('納品入力_横型'!L24=0,"",'納品入力_横型'!L24)</x:f>
      </x:c>
      <x:c r="M23" s="40" t="str">
        <x:f>IF('納品入力_横型'!M24=0,"",'納品入力_横型'!M24)</x:f>
      </x:c>
      <x:c r="N23" s="40" t="str">
        <x:f>IF('納品入力_横型'!N24=0,"",'納品入力_横型'!N24)</x:f>
      </x:c>
      <x:c r="O23" s="40" t="str">
        <x:f>IF('納品入力_横型'!O24=0,"",'納品入力_横型'!O24)</x:f>
      </x:c>
      <x:c r="P23" s="40" t="str">
        <x:f>IF('納品入力_横型'!P24=0,"",'納品入力_横型'!P24)</x:f>
      </x:c>
      <x:c r="Q23" s="40" t="str">
        <x:f>IF('納品入力_横型'!Q24=0,"",'納品入力_横型'!Q24)</x:f>
      </x:c>
      <x:c r="R23" s="40" t="str">
        <x:f>IF('納品入力_横型'!R24=0,"",'納品入力_横型'!R24)</x:f>
      </x:c>
      <x:c r="S23" s="40" t="str">
        <x:f>IF('納品入力_横型'!S24=0,"",'納品入力_横型'!S24)</x:f>
      </x:c>
      <x:c r="T23" s="40" t="str">
        <x:f>IF('納品入力_横型'!T24=0,"",'納品入力_横型'!T24)</x:f>
      </x:c>
      <x:c r="U23" s="40" t="str">
        <x:f>IF('納品入力_横型'!U24=0,"",'納品入力_横型'!U24)</x:f>
      </x:c>
      <x:c r="V23" s="40" t="str">
        <x:f>IF('納品入力_横型'!V24=0,"",'納品入力_横型'!V24)</x:f>
      </x:c>
      <x:c r="W23" s="40" t="n">
        <x:f>'納品入力_横型'!W24</x:f>
        <x:v>3</x:v>
      </x:c>
      <x:c r="X23" s="40" t="n">
        <x:f>'納品入力_横型'!X24</x:f>
        <x:v>450</x:v>
      </x:c>
    </x:row>
    <x:row r="24">
      <x:c r="A24" s="44" t="str">
        <x:f>"店舗計"</x:f>
        <x:v>店舗計</x:v>
      </x:c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 t="n">
        <x:f>SUM(W20:W23)</x:f>
        <x:v>503</x:v>
      </x:c>
      <x:c r="X24" s="44" t="n">
        <x:f>SUM(X20:X23)</x:f>
        <x:v>12850</x:v>
      </x:c>
    </x:row>
    <x:row r="28">
      <x:c r="A28" s="46" t="str">
        <x:v>全店舗合計</x:v>
      </x:c>
      <x:c r="B28" s="46" t="str"/>
      <x:c r="C28" s="46" t="str"/>
      <x:c r="D28" s="46" t="str"/>
      <x:c r="E28" s="46" t="str"/>
      <x:c r="F28" s="46" t="str"/>
      <x:c r="G28" s="46" t="str"/>
      <x:c r="H28" s="46" t="str"/>
      <x:c r="I28" s="46" t="str"/>
      <x:c r="J28" s="46" t="str"/>
      <x:c r="K28" s="46" t="str"/>
      <x:c r="L28" s="46" t="str"/>
      <x:c r="M28" s="46" t="str"/>
      <x:c r="N28" s="46" t="str"/>
      <x:c r="O28" s="46" t="str"/>
      <x:c r="P28" s="46" t="str"/>
      <x:c r="Q28" s="46" t="str"/>
      <x:c r="R28" s="46" t="str"/>
      <x:c r="S28" s="46" t="str"/>
      <x:c r="T28" s="46" t="str"/>
      <x:c r="U28" s="46" t="str"/>
      <x:c r="V28" s="46" t="str"/>
      <x:c r="W28" s="46" t="str"/>
      <x:c r="X28" s="46" t="str"/>
    </x:row>
    <x:row r="29">
      <x:c r="A29" s="10" t="str">
        <x:v>商品名</x:v>
      </x:c>
      <x:c r="B29" s="10" t="str">
        <x:v>単価</x:v>
      </x:c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  <x:c r="V29" s="10" t="str"/>
      <x:c r="W29" s="10" t="str">
        <x:v>合計数量</x:v>
      </x:c>
      <x:c r="X29" s="10" t="str">
        <x:v>金額</x:v>
      </x:c>
    </x:row>
    <x:row r="30">
      <x:c r="A30" s="12" t="str">
        <x:v>バスタオル</x:v>
      </x:c>
      <x:c r="B30" s="40" t="n">
        <x:f>MAXIFS('納品台帳_自動生成'!$G$4:$G$100,'納品台帳_自動生成'!$E$4:$E$100,A30)</x:f>
        <x:v>50</x:v>
      </x:c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 t="n">
        <x:f>SUMIFS('納品台帳_自動生成'!$F:$F,'納品台帳_自動生成'!$E:$E,A30)</x:f>
        <x:v>380</x:v>
      </x:c>
      <x:c r="X30" s="40" t="n">
        <x:f>SUMIFS('納品台帳_自動生成'!$H:$H,'納品台帳_自動生成'!$E:$E,A30)</x:f>
        <x:v>19000</x:v>
      </x:c>
    </x:row>
    <x:row r="31">
      <x:c r="A31" s="12" t="str">
        <x:v>フェイスタオル</x:v>
      </x:c>
      <x:c r="B31" s="40" t="n">
        <x:f>MAXIFS('納品台帳_自動生成'!$G$4:$G$100,'納品台帳_自動生成'!$E$4:$E$100,A31)</x:f>
        <x:v>10</x:v>
      </x:c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 t="n">
        <x:f>SUMIFS('納品台帳_自動生成'!$F:$F,'納品台帳_自動生成'!$E:$E,A31)</x:f>
        <x:v>850</x:v>
      </x:c>
      <x:c r="X31" s="40" t="n">
        <x:f>SUMIFS('納品台帳_自動生成'!$H:$H,'納品台帳_自動生成'!$E:$E,A31)</x:f>
        <x:v>8500</x:v>
      </x:c>
    </x:row>
    <x:row r="32">
      <x:c r="A32" s="12" t="str">
        <x:v>バスマット</x:v>
      </x:c>
      <x:c r="B32" s="40" t="n">
        <x:f>MAXIFS('納品台帳_自動生成'!$G$4:$G$100,'納品台帳_自動生成'!$E$4:$E$100,A32)</x:f>
        <x:v>20</x:v>
      </x:c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 t="n">
        <x:f>SUMIFS('納品台帳_自動生成'!$F:$F,'納品台帳_自動生成'!$E:$E,A32)</x:f>
        <x:v>50</x:v>
      </x:c>
      <x:c r="X32" s="40" t="n">
        <x:f>SUMIFS('納品台帳_自動生成'!$H:$H,'納品台帳_自動生成'!$E:$E,A32)</x:f>
        <x:v>1000</x:v>
      </x:c>
    </x:row>
    <x:row r="33">
      <x:c r="A33" s="12" t="str">
        <x:v>配達料</x:v>
      </x:c>
      <x:c r="B33" s="40" t="n">
        <x:f>MAXIFS('納品台帳_自動生成'!$G$4:$G$100,'納品台帳_自動生成'!$E$4:$E$100,A33)</x:f>
        <x:v>150</x:v>
      </x:c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 t="n">
        <x:f>SUMIFS('納品台帳_自動生成'!$F:$F,'納品台帳_自動生成'!$E:$E,A33)</x:f>
        <x:v>8</x:v>
      </x:c>
      <x:c r="X33" s="40" t="n">
        <x:f>SUMIFS('納品台帳_自動生成'!$H:$H,'納品台帳_自動生成'!$E:$E,A33)</x:f>
        <x:v>1200</x:v>
      </x:c>
    </x:row>
    <x:row r="34">
      <x:c r="A34" s="44" t="str">
        <x:f>"総合計"</x:f>
        <x:v>総合計</x:v>
      </x:c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 t="n">
        <x:f>SUM(W30:W33)</x:f>
        <x:v>1288</x:v>
      </x:c>
      <x:c r="X34" s="44" t="n">
        <x:f>SUM(X30:X33)</x:f>
        <x:v>29700</x:v>
      </x:c>
    </x:row>
  </x:sheetData>
  <x:mergeCells>
    <x:mergeCell ref="A1:X1"/>
    <x:mergeCell ref="B4:C4"/>
    <x:mergeCell ref="A2:X2"/>
    <x:mergeCell ref="A8:X8"/>
    <x:mergeCell ref="A14:V14"/>
    <x:mergeCell ref="A18:X18"/>
    <x:mergeCell ref="A24:V24"/>
    <x:mergeCell ref="A28:X28"/>
    <x:mergeCell ref="A34:V3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5999984741211" hidden="0" customWidth="1"/>
    <x:col min="2" max="2" width="10.430000305175781" hidden="0" customWidth="1"/>
    <x:col min="3" max="3" width="19.020000457763672" hidden="0" customWidth="1"/>
    <x:col min="4" max="4" width="9.199999809265137" hidden="0" customWidth="1"/>
    <x:col min="5" max="5" width="10.430000305175781" hidden="0" customWidth="1"/>
    <x:col min="6" max="6" width="11.65999984741211" hidden="0" customWidth="1"/>
    <x:col min="7" max="7" width="10.430000305175781" hidden="0" customWidth="1"/>
    <x:col min="8" max="8" width="12.880000114440918" hidden="0" customWidth="1"/>
    <x:col min="9" max="9" width="11.65999984741211" hidden="0" customWidth="1"/>
    <x:col min="10" max="10" width="10.430000305175781" hidden="0" customWidth="1"/>
    <x:col min="11" max="11" width="11.65999984741211" hidden="0" customWidth="1"/>
    <x:col min="12" max="12" width="26.3799991607666" hidden="0" customWidth="1"/>
  </x:cols>
  <x:sheetData>
    <x:row r="1">
      <x:c r="A1" s="4" t="str">
        <x:v>請求集計</x:v>
      </x:c>
      <x:c r="B1" s="4" t="str">
        <x:v>請求集計</x:v>
      </x:c>
      <x:c r="C1" s="4" t="str">
        <x:v>請求集計</x:v>
      </x:c>
      <x:c r="D1" s="4" t="str">
        <x:v>請求集計</x:v>
      </x:c>
      <x:c r="E1" s="4" t="str">
        <x:v>請求集計</x:v>
      </x:c>
      <x:c r="F1" s="4" t="str">
        <x:v>請求集計</x:v>
      </x:c>
      <x:c r="G1" s="4" t="str">
        <x:v>請求集計</x:v>
      </x:c>
      <x:c r="H1" s="4" t="str">
        <x:v>請求集計</x:v>
      </x:c>
      <x:c r="I1" s="4" t="str">
        <x:v>請求集計</x:v>
      </x:c>
      <x:c r="J1" s="4" t="str">
        <x:v>請求集計</x:v>
      </x:c>
      <x:c r="K1" s="4" t="str">
        <x:v>請求集計</x:v>
      </x:c>
      <x:c r="L1" s="4" t="str">
        <x:v>請求集計</x:v>
      </x:c>
    </x:row>
    <x:row r="3">
      <x:c r="A3" s="10" t="str">
        <x:v>請求月</x:v>
      </x:c>
      <x:c r="B3" s="10" t="str">
        <x:v>顧客ID</x:v>
      </x:c>
      <x:c r="C3" s="10" t="str">
        <x:v>請求先名</x:v>
      </x:c>
      <x:c r="D3" s="10" t="str">
        <x:v>支払区分</x:v>
      </x:c>
      <x:c r="E3" s="10" t="str">
        <x:v>送付方法</x:v>
      </x:c>
      <x:c r="F3" s="10" t="str">
        <x:v>商品合計</x:v>
      </x:c>
      <x:c r="G3" s="10" t="str">
        <x:v>配達料</x:v>
      </x:c>
      <x:c r="H3" s="10" t="str">
        <x:v>その他手数料</x:v>
      </x:c>
      <x:c r="I3" s="10" t="str">
        <x:v>税抜合計</x:v>
      </x:c>
      <x:c r="J3" s="10" t="str">
        <x:v>消費税</x:v>
      </x:c>
      <x:c r="K3" s="10" t="str">
        <x:v>税込合計</x:v>
      </x:c>
      <x:c r="L3" s="10" t="str">
        <x:v>備考</x:v>
      </x:c>
    </x:row>
    <x:row r="4">
      <x:c r="A4" s="12" t="str">
        <x:f>'納品入力_横型'!$E$3</x:f>
        <x:v>2026年4月</x:v>
      </x:c>
      <x:c r="B4" s="12" t="str">
        <x:f>'納品入力_横型'!$B$4</x:f>
        <x:v>CUST001</x:v>
      </x:c>
      <x:c r="C4" s="12" t="str">
        <x:f>'納品入力_横型'!$B$3</x:f>
        <x:v>〇〇株式会社</x:v>
      </x:c>
      <x:c r="D4" s="12" t="str">
        <x:f>XLOOKUP(B4,'顧客マスタ'!$A$4:$A$100,'顧客マスタ'!$C$4:$C$100,"")</x:f>
        <x:v>振込</x:v>
      </x:c>
      <x:c r="E4" s="12" t="str">
        <x:f>XLOOKUP(B4,'顧客マスタ'!$A$4:$A$100,'顧客マスタ'!$D$4:$D$100,"")</x:f>
        <x:v>Gmail</x:v>
      </x:c>
      <x:c r="F4" s="40" t="n">
        <x:f>SUMIFS('納品台帳_自動生成'!$H:$H,'納品台帳_自動生成'!$I:$I,"商品")</x:f>
        <x:v>28500</x:v>
      </x:c>
      <x:c r="G4" s="40" t="n">
        <x:f>SUMIFS('納品台帳_自動生成'!$H:$H,'納品台帳_自動生成'!$I:$I,"配達料")</x:f>
        <x:v>1200</x:v>
      </x:c>
      <x:c r="H4" s="40" t="n">
        <x:f>0</x:f>
        <x:v>0</x:v>
      </x:c>
      <x:c r="I4" s="40" t="n">
        <x:f>SUM(F4:H4)</x:f>
        <x:v>29700</x:v>
      </x:c>
      <x:c r="J4" s="40" t="n">
        <x:f>ROUND(I4*'設定'!$B$4,0)</x:f>
        <x:v>2970</x:v>
      </x:c>
      <x:c r="K4" s="40" t="n">
        <x:f>I4+J4</x:f>
        <x:v>32670</x:v>
      </x:c>
      <x:c r="L4" s="12" t="str">
        <x:f>"支払区分で現金/振込の分離が可能"</x:f>
        <x:v>支払区分で現金/振込の分離が可能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5.34000015258789" hidden="0" customWidth="1"/>
    <x:col min="3" max="3" width="21.469999313354492" hidden="0" customWidth="1"/>
    <x:col min="4" max="4" width="9.199999809265137" hidden="0" customWidth="1"/>
    <x:col min="5" max="5" width="10.430000305175781" hidden="0" customWidth="1"/>
    <x:col min="6" max="6" width="11.65999984741211" hidden="0" customWidth="1"/>
    <x:col min="7" max="7" width="6.75" hidden="0" customWidth="1"/>
    <x:col min="8" max="8" width="6.75" hidden="0" customWidth="1"/>
  </x:cols>
  <x:sheetData>
    <x:row r="1">
      <x:c r="A1" s="4" t="str">
        <x:v>請求書_出力</x:v>
      </x:c>
      <x:c r="B1" s="4" t="str">
        <x:v>請求書_出力</x:v>
      </x:c>
      <x:c r="C1" s="4" t="str">
        <x:v>請求書_出力</x:v>
      </x:c>
      <x:c r="D1" s="4" t="str">
        <x:v>請求書_出力</x:v>
      </x:c>
      <x:c r="E1" s="4" t="str">
        <x:v>請求書_出力</x:v>
      </x:c>
      <x:c r="F1" s="4" t="str">
        <x:v>請求書_出力</x:v>
      </x:c>
      <x:c r="G1" s="4" t="str">
        <x:v>請求書_出力</x:v>
      </x:c>
      <x:c r="H1" s="4" t="str">
        <x:v>請求書_出力</x:v>
      </x:c>
    </x:row>
    <x:row r="3">
      <x:c r="A3" t="str">
        <x:v>請求先</x:v>
      </x:c>
      <x:c r="B3" t="str">
        <x:v>〇〇株式会社 御中</x:v>
      </x:c>
      <x:c r="C3" t="str"/>
      <x:c r="D3" t="str"/>
      <x:c r="E3" t="str">
        <x:v>発行日</x:v>
      </x:c>
      <x:c r="F3" t="str">
        <x:v>2026/5/1</x:v>
      </x:c>
      <x:c r="G3" t="str"/>
      <x:c r="H3" t="str"/>
    </x:row>
    <x:row r="4">
      <x:c r="A4" t="str">
        <x:v>請求月</x:v>
      </x:c>
      <x:c r="B4" t="str">
        <x:v>2026年4月</x:v>
      </x:c>
      <x:c r="C4" t="str"/>
      <x:c r="D4" t="str"/>
      <x:c r="E4" t="str">
        <x:v>締日</x:v>
      </x:c>
      <x:c r="F4" t="str">
        <x:v>月末</x:v>
      </x:c>
      <x:c r="G4" t="str"/>
      <x:c r="H4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8" t="str">
        <x:v>ご請求金額</x:v>
      </x:c>
      <x:c r="B6" s="50" t="n">
        <x:f>'請求集計'!K4</x:f>
        <x:v>32670</x:v>
      </x:c>
      <x:c r="C6" s="48" t="str"/>
      <x:c r="D6" s="48" t="str"/>
      <x:c r="E6" s="48" t="str"/>
      <x:c r="F6" s="48" t="str"/>
      <x:c r="G6" s="48" t="str"/>
      <x:c r="H6" s="48" t="str"/>
    </x:row>
    <x:row r="7">
      <x:c r="A7" t="str">
        <x:v>税抜合計</x:v>
      </x:c>
      <x:c r="B7" s="51" t="n">
        <x:f>'請求集計'!I4</x:f>
        <x:v>29700</x:v>
      </x:c>
      <x:c r="C7" t="str"/>
      <x:c r="D7" t="str"/>
      <x:c r="E7" t="str"/>
      <x:c r="F7" t="str"/>
      <x:c r="G7" t="str"/>
      <x:c r="H7" t="str"/>
    </x:row>
    <x:row r="8">
      <x:c r="A8" t="str">
        <x:v>消費税</x:v>
      </x:c>
      <x:c r="B8" s="51" t="n">
        <x:f>'請求集計'!J4</x:f>
        <x:v>2970</x:v>
      </x:c>
      <x:c r="C8" t="str"/>
      <x:c r="D8" t="str"/>
      <x:c r="E8" t="str"/>
      <x:c r="F8" t="str"/>
      <x:c r="G8" t="str"/>
      <x:c r="H8" t="str"/>
    </x:row>
    <x:row r="9">
      <x:c r="A9" t="str">
        <x:v>税込合計</x:v>
      </x:c>
      <x:c r="B9" s="51" t="n">
        <x:f>'請求集計'!K4</x:f>
        <x:v>32670</x:v>
      </x:c>
      <x:c r="C9" t="str"/>
      <x:c r="D9" t="str"/>
      <x:c r="E9" t="str"/>
      <x:c r="F9" t="str"/>
      <x:c r="G9" t="str"/>
      <x:c r="H9" t="str"/>
    </x:row>
    <x:row r="12">
      <x:c r="A12" s="53" t="str">
        <x:v>内訳</x:v>
      </x:c>
      <x:c r="B12" s="53" t="str"/>
      <x:c r="C12" s="53" t="str"/>
      <x:c r="D12" s="53" t="str"/>
      <x:c r="E12" s="53" t="str"/>
      <x:c r="F12" s="53" t="str"/>
      <x:c r="G12" s="53" t="str"/>
      <x:c r="H12" s="53" t="str"/>
    </x:row>
    <x:row r="13">
      <x:c r="A13" s="10" t="str">
        <x:v>区分</x:v>
      </x:c>
      <x:c r="B13" s="10" t="str">
        <x:v>金額</x:v>
      </x:c>
      <x:c r="C13" s="10" t="str">
        <x:v>備考</x:v>
      </x:c>
      <x:c r="D13" s="10" t="str"/>
    </x:row>
    <x:row r="14">
      <x:c r="A14" s="12" t="str">
        <x:v>商品合計</x:v>
      </x:c>
      <x:c r="B14" s="13" t="n">
        <x:f>'請求集計'!F4</x:f>
        <x:v>28500</x:v>
      </x:c>
      <x:c r="C14" s="12" t="str">
        <x:v>請求集計から反映</x:v>
      </x:c>
      <x:c r="D14" s="12" t="str"/>
    </x:row>
    <x:row r="15">
      <x:c r="A15" s="12" t="str">
        <x:v>配達料</x:v>
      </x:c>
      <x:c r="B15" s="13" t="n">
        <x:f>'請求集計'!G4</x:f>
        <x:v>1200</x:v>
      </x:c>
      <x:c r="C15" s="12" t="str">
        <x:v>請求集計から反映</x:v>
      </x:c>
      <x:c r="D15" s="12" t="str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2.880000114440918" hidden="0" customWidth="1"/>
    <x:col min="3" max="3" width="33.7400016784668" hidden="0" customWidth="1"/>
    <x:col min="4" max="4" width="6.75" hidden="0" customWidth="1"/>
  </x:cols>
  <x:sheetData>
    <x:row r="1">
      <x:c r="A1" s="4" t="str">
        <x:v>設定</x:v>
      </x:c>
      <x:c r="B1" s="4" t="str">
        <x:v>設定</x:v>
      </x:c>
      <x:c r="C1" s="4" t="str">
        <x:v>設定</x:v>
      </x:c>
      <x:c r="D1" s="4" t="str">
        <x:v>設定</x:v>
      </x:c>
    </x:row>
    <x:row r="3">
      <x:c r="A3" s="10" t="str">
        <x:v>項目</x:v>
      </x:c>
      <x:c r="B3" s="10" t="str">
        <x:v>値</x:v>
      </x:c>
      <x:c r="C3" s="10" t="str">
        <x:v>説明</x:v>
      </x:c>
      <x:c r="D3" s="10" t="str"/>
    </x:row>
    <x:row r="4">
      <x:c r="A4" s="12" t="str">
        <x:v>消費税率</x:v>
      </x:c>
      <x:c r="B4" s="15" t="n">
        <x:v>0.1</x:v>
      </x:c>
      <x:c r="C4" s="12" t="str">
        <x:v>請求集計の消費税計算で参照</x:v>
      </x:c>
      <x:c r="D4" s="12" t="str"/>
    </x:row>
    <x:row r="5">
      <x:c r="A5" s="12" t="str">
        <x:v>初期請求月</x:v>
      </x:c>
      <x:c r="B5" s="12" t="str">
        <x:v>2026年4月</x:v>
      </x:c>
      <x:c r="C5" s="12" t="str">
        <x:v>横型入力の初期値</x:v>
      </x:c>
      <x:c r="D5" s="12" t="str"/>
    </x:row>
    <x:row r="6">
      <x:c r="A6" s="12" t="str">
        <x:v>納品回数上限</x:v>
      </x:c>
      <x:c r="B6" s="12" t="n">
        <x:v>20</x:v>
      </x:c>
      <x:c r="C6" s="12" t="str">
        <x:v>このプロトタイプでは20回</x:v>
      </x:c>
      <x:c r="D6" s="12" t="str"/>
    </x:row>
    <x:row r="7">
      <x:c r="A7" s="12" t="str">
        <x:v>支払区分</x:v>
      </x:c>
      <x:c r="B7" s="12" t="str">
        <x:v>振込/現金</x:v>
      </x:c>
      <x:c r="C7" s="12" t="str">
        <x:v>将来分離しやすいよう顧客マスタに保持</x:v>
      </x:c>
      <x:c r="D7" s="12" t="str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0000305175781" hidden="0" customWidth="1"/>
    <x:col min="2" max="2" width="87.7300033569336" hidden="0" customWidth="1"/>
    <x:col min="3" max="3" width="3.069999933242798" hidden="0" customWidth="1"/>
    <x:col min="4" max="4" width="3.069999933242798" hidden="0" customWidth="1"/>
    <x:col min="5" max="5" width="3.069999933242798" hidden="0" customWidth="1"/>
    <x:col min="6" max="6" width="3.069999933242798" hidden="0" customWidth="1"/>
    <x:col min="7" max="7" width="3.069999933242798" hidden="0" customWidth="1"/>
    <x:col min="8" max="8" width="3.069999933242798" hidden="0" customWidth="1"/>
  </x:cols>
  <x:sheetData>
    <x:row r="1">
      <x:c r="A1" s="4" t="str">
        <x:v>使い方</x:v>
      </x:c>
      <x:c r="B1" s="4" t="str">
        <x:v>使い方</x:v>
      </x:c>
      <x:c r="C1" s="4" t="str">
        <x:v>使い方</x:v>
      </x:c>
      <x:c r="D1" s="4" t="str">
        <x:v>使い方</x:v>
      </x:c>
      <x:c r="E1" s="4" t="str">
        <x:v>使い方</x:v>
      </x:c>
      <x:c r="F1" s="4" t="str">
        <x:v>使い方</x:v>
      </x:c>
      <x:c r="G1" s="4" t="str">
        <x:v>使い方</x:v>
      </x:c>
      <x:c r="H1" s="4" t="str">
        <x:v>使い方</x:v>
      </x:c>
    </x:row>
    <x:row r="3">
      <x:c r="A3" s="10" t="str">
        <x:v>項目</x:v>
      </x:c>
      <x:c r="B3" s="10" t="str">
        <x:v>説明</x:v>
      </x:c>
      <x:c r="C3" s="10" t="str"/>
      <x:c r="D3" s="10" t="str"/>
      <x:c r="E3" s="10" t="str"/>
      <x:c r="F3" s="10" t="str"/>
      <x:c r="G3" s="10" t="str"/>
      <x:c r="H3" s="10" t="str"/>
    </x:row>
    <x:row r="4">
      <x:c r="A4" s="55" t="str">
        <x:v>1</x:v>
      </x:c>
      <x:c r="B4" s="54" t="str">
        <x:v>顧客マスタ、店舗マスタ、顧客別単価マスタを整備します。店舗別単価がない商品は店舗IDを空欄にした共通単価を使います。</x:v>
      </x:c>
      <x:c r="C4" s="12" t="str"/>
      <x:c r="D4" s="12" t="str"/>
      <x:c r="E4" s="12" t="str"/>
      <x:c r="F4" s="12" t="str"/>
      <x:c r="G4" s="12" t="str"/>
      <x:c r="H4" s="12" t="str"/>
    </x:row>
    <x:row r="5">
      <x:c r="A5" s="55" t="str">
        <x:v>2</x:v>
      </x:c>
      <x:c r="B5" s="54" t="str">
        <x:v>納品入力_横型で請求先、対象月、各店舗ブロックの納品日を入力します。納品日は日だけ入力し、納品回数は20回分まで用意しています。</x:v>
      </x:c>
      <x:c r="C5" s="12" t="str"/>
      <x:c r="D5" s="12" t="str"/>
      <x:c r="E5" s="12" t="str"/>
      <x:c r="F5" s="12" t="str"/>
      <x:c r="G5" s="12" t="str"/>
      <x:c r="H5" s="12" t="str"/>
    </x:row>
    <x:row r="6">
      <x:c r="A6" s="55" t="str">
        <x:v>3</x:v>
      </x:c>
      <x:c r="B6" s="54" t="str">
        <x:v>商品行には数量だけ入力します。単価、合計、金額は自動計算です。</x:v>
      </x:c>
      <x:c r="C6" s="12" t="str"/>
      <x:c r="D6" s="12" t="str"/>
      <x:c r="E6" s="12" t="str"/>
      <x:c r="F6" s="12" t="str"/>
      <x:c r="G6" s="12" t="str"/>
      <x:c r="H6" s="12" t="str"/>
    </x:row>
    <x:row r="7">
      <x:c r="A7" s="55" t="str">
        <x:v>4</x:v>
      </x:c>
      <x:c r="B7" s="54" t="str">
        <x:v>配達料は納品日が入った列を1回として自動計上します。</x:v>
      </x:c>
      <x:c r="C7" s="12" t="str"/>
      <x:c r="D7" s="12" t="str"/>
      <x:c r="E7" s="12" t="str"/>
      <x:c r="F7" s="12" t="str"/>
      <x:c r="G7" s="12" t="str"/>
      <x:c r="H7" s="12" t="str"/>
    </x:row>
    <x:row r="8">
      <x:c r="A8" s="55" t="str">
        <x:v>5</x:v>
      </x:c>
      <x:c r="B8" s="54" t="str">
        <x:v>納品台帳_自動生成は横型入力から縦型に展開されるため、直接編集しません。</x:v>
      </x:c>
      <x:c r="C8" s="12" t="str"/>
      <x:c r="D8" s="12" t="str"/>
      <x:c r="E8" s="12" t="str"/>
      <x:c r="F8" s="12" t="str"/>
      <x:c r="G8" s="12" t="str"/>
      <x:c r="H8" s="12" t="str"/>
    </x:row>
    <x:row r="9">
      <x:c r="A9" s="55" t="str">
        <x:v>6</x:v>
      </x:c>
      <x:c r="B9" s="54" t="str">
        <x:v>請求明細_出力は顧客提出用です。店舗別ブロックと全店舗合計を確認します。</x:v>
      </x:c>
      <x:c r="C9" s="12" t="str"/>
      <x:c r="D9" s="12" t="str"/>
      <x:c r="E9" s="12" t="str"/>
      <x:c r="F9" s="12" t="str"/>
      <x:c r="G9" s="12" t="str"/>
      <x:c r="H9" s="12" t="str"/>
    </x:row>
    <x:row r="10">
      <x:c r="A10" s="55" t="str">
        <x:v>7</x:v>
      </x:c>
      <x:c r="B10" s="54" t="str">
        <x:v>請求集計は請求書反映用です。消費税率は設定シートのB4を変更します。</x:v>
      </x:c>
      <x:c r="C10" s="12" t="str"/>
      <x:c r="D10" s="12" t="str"/>
      <x:c r="E10" s="12" t="str"/>
      <x:c r="F10" s="12" t="str"/>
      <x:c r="G10" s="12" t="str"/>
      <x:c r="H10" s="12" t="str"/>
    </x:row>
    <x:row r="11">
      <x:c r="A11" s="55" t="str">
        <x:v>拡張案</x:v>
      </x:c>
      <x:c r="B11" s="54" t="str">
        <x:v>PDF出力は請求明細_出力/請求書_出力を印刷範囲化、Gmail/LINE送付は請求集計の送付方法と支払区分をキーに出力対象を分ける構成にします。</x:v>
      </x:c>
      <x:c r="C11" s="12" t="str"/>
      <x:c r="D11" s="12" t="str"/>
      <x:c r="E11" s="12" t="str"/>
      <x:c r="F11" s="12" t="str"/>
      <x:c r="G11" s="12" t="str"/>
      <x:c r="H11" s="12" t="str"/>
    </x:row>
    <x:row r="12">
      <x:c r="A12" s="55" t="str">
        <x:v>既存構成</x:v>
      </x:c>
      <x:c r="B12" s="54" t="str">
        <x:v>このプロジェクトは Next.js アプリで、現金/振込データが src/data/cash.ts と src/data/bank.ts に分かれています。請求プレビューは src/components/InvoicePreview.tsx にあります。</x:v>
      </x:c>
      <x:c r="C12" s="12" t="str"/>
      <x:c r="D12" s="12" t="str"/>
      <x:c r="E12" s="12" t="str"/>
      <x:c r="F12" s="12" t="str"/>
      <x:c r="G12" s="12" t="str"/>
      <x:c r="H12" s="12" t="str"/>
    </x:row>
    <x:row r="13">
      <x:c r="A13" s="55" t="str">
        <x:v>今回の範囲</x:v>
      </x:c>
      <x:c r="B13" s="54" t="str">
        <x:v>既存アプリには手を入れず、要件検証用の独立した最小プロトタイプブックを作成しています。</x:v>
      </x:c>
      <x:c r="C13" s="12" t="str"/>
      <x:c r="D13" s="12" t="str"/>
      <x:c r="E13" s="12" t="str"/>
      <x:c r="F13" s="12" t="str"/>
      <x:c r="G13" s="12" t="str"/>
      <x:c r="H13" s="12" t="str"/>
    </x:row>
  </x:sheetData>
  <x:mergeCells>
    <x:mergeCell ref="A1:H1"/>
  </x:mergeCells>
  <x:pageMargins left="0.7" right="0.7" top="0.75" bottom="0.75" header="0.3" footer="0.3"/>
</x:worksheet>
</file>